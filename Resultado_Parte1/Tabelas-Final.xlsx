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on\Downloads\Problema-de-Localizacao-com-Cobertura-Parcial\"/>
    </mc:Choice>
  </mc:AlternateContent>
  <xr:revisionPtr revIDLastSave="0" documentId="13_ncr:1_{7A6373D4-D9E5-43E3-83FC-DDA7247AAEF7}" xr6:coauthVersionLast="47" xr6:coauthVersionMax="47" xr10:uidLastSave="{00000000-0000-0000-0000-000000000000}"/>
  <bookViews>
    <workbookView xWindow="-120" yWindow="-120" windowWidth="20730" windowHeight="11760" xr2:uid="{792840E6-1BCE-4F5B-B3B2-7B844065BC26}"/>
  </bookViews>
  <sheets>
    <sheet name="Pequenas" sheetId="1" r:id="rId1"/>
    <sheet name="Médias" sheetId="2" r:id="rId2"/>
    <sheet name="Grandes" sheetId="3" r:id="rId3"/>
    <sheet name="Enormes" sheetId="4" r:id="rId4"/>
    <sheet name="Gigant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3" l="1"/>
  <c r="E9" i="1"/>
  <c r="I9" i="5"/>
  <c r="H9" i="5"/>
  <c r="G9" i="5"/>
  <c r="F9" i="5"/>
  <c r="E9" i="5"/>
  <c r="D9" i="5"/>
  <c r="C9" i="5"/>
  <c r="B9" i="5"/>
  <c r="I9" i="4"/>
  <c r="H9" i="4"/>
  <c r="G9" i="4"/>
  <c r="F9" i="4"/>
  <c r="E9" i="4"/>
  <c r="D9" i="4"/>
  <c r="C9" i="4"/>
  <c r="B9" i="4"/>
  <c r="I9" i="3"/>
  <c r="H9" i="3"/>
  <c r="G9" i="3"/>
  <c r="F9" i="3"/>
  <c r="D9" i="3"/>
  <c r="C9" i="3"/>
  <c r="B9" i="3"/>
  <c r="I9" i="2"/>
  <c r="H9" i="2"/>
  <c r="G9" i="2"/>
  <c r="F9" i="2"/>
  <c r="E9" i="2"/>
  <c r="D9" i="2"/>
  <c r="C9" i="2"/>
  <c r="B9" i="2"/>
  <c r="I9" i="1"/>
  <c r="H9" i="1"/>
  <c r="G9" i="1"/>
  <c r="F9" i="1"/>
  <c r="D9" i="1"/>
  <c r="C9" i="1"/>
  <c r="B9" i="1"/>
</calcChain>
</file>

<file path=xl/sharedStrings.xml><?xml version="1.0" encoding="utf-8"?>
<sst xmlns="http://schemas.openxmlformats.org/spreadsheetml/2006/main" count="95" uniqueCount="35">
  <si>
    <t>CPLEX</t>
  </si>
  <si>
    <t>GUROBI</t>
  </si>
  <si>
    <t>LB</t>
  </si>
  <si>
    <t>UB</t>
  </si>
  <si>
    <t>TEMPO (SEG.)</t>
  </si>
  <si>
    <t>GAP (%)</t>
  </si>
  <si>
    <t>GRID_PSCLP_n100_m1000_d1_100_f10_100_s1</t>
  </si>
  <si>
    <t>MÉDIA</t>
  </si>
  <si>
    <t xml:space="preserve">Raio de Cobertura </t>
  </si>
  <si>
    <t>Demanda Mínima</t>
  </si>
  <si>
    <t>GRID_PSCLP_n100_m5000_d1_100_f10_100_s1</t>
  </si>
  <si>
    <t>GRID_PSCLP_n100_m5000_d1_100_f10_100_s2</t>
  </si>
  <si>
    <t>INSTÂNCIAS MÉDIAS</t>
  </si>
  <si>
    <t>INSTÂNCIAS PEQUENAS</t>
  </si>
  <si>
    <t>INSTÂNCIAS GRANDES</t>
  </si>
  <si>
    <t>GRID_PSCLP_n100_m10000_d1_100_f10_100_s1</t>
  </si>
  <si>
    <t>GRID_PSCLP_n100_m10000_d1_100_f10_100_s2</t>
  </si>
  <si>
    <t>INSTÂNCIAS ENORMES</t>
  </si>
  <si>
    <t>INSTÂNCIAS GIGANTES</t>
  </si>
  <si>
    <t>GRID_PSCLP_n100_m5000_d1_100_f10_100_s3</t>
  </si>
  <si>
    <t>GRID_PSCLP_n100_m5000_d1_100_f10_100_s4</t>
  </si>
  <si>
    <t>GRID_PSCLP_n100_m5000_d1_100_f10_100_s5</t>
  </si>
  <si>
    <t>GRID_PSCLP_n100_m10000_d1_100_f10_100_s3</t>
  </si>
  <si>
    <t>GRID_PSCLP_n100_m10000_d1_100_f10_100_s4</t>
  </si>
  <si>
    <t>GRID_PSCLP_n100_m10000_d1_100_f10_100_s5</t>
  </si>
  <si>
    <t>GRID_PSCLP_n100_m50000_d1_100_f10_100_s1</t>
  </si>
  <si>
    <t>GRID_PSCLP_n100_m50000_d1_100_f10_100_s2</t>
  </si>
  <si>
    <t>GRID_PSCLP_n100_m50000_d1_100_f10_100_s3</t>
  </si>
  <si>
    <t>GRID_PSCLP_n100_m50000_d1_100_f10_100_s4</t>
  </si>
  <si>
    <t>GRID_PSCLP_n100_m50000_d1_100_f10_100_s5</t>
  </si>
  <si>
    <t>GRID_PSCLP_n100_m100000_d1_100_f10_100_s1</t>
  </si>
  <si>
    <t>GRID_PSCLP_n100_m100000_d1_100_f10_100_s2</t>
  </si>
  <si>
    <t>GRID_PSCLP_n100_m100000_d1_100_f10_100_s3</t>
  </si>
  <si>
    <t>GRID_PSCLP_n100_m100000_d1_100_f10_100_s4</t>
  </si>
  <si>
    <t>GRID_PSCLP_n100_m100000_d1_100_f10_100_s5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</si>
</sst>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9" fontId="0" fillId="0" borderId="0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8D93-1F9B-4C8C-9D51-AE44BB88A1EE}">
  <dimension ref="A1:K12"/>
  <sheetViews>
    <sheetView tabSelected="1" workbookViewId="0">
      <selection activeCell="C19" sqref="C19"/>
    </sheetView>
  </sheetViews>
  <sheetFormatPr defaultRowHeight="15" x14ac:dyDescent="0.25"/>
  <cols>
    <col min="1" max="1" width="42.28515625" bestFit="1" customWidth="1"/>
    <col min="5" max="5" width="13.42578125" bestFit="1" customWidth="1"/>
    <col min="9" max="9" width="13.42578125" bestFit="1" customWidth="1"/>
    <col min="10" max="10" width="9.7109375" customWidth="1"/>
  </cols>
  <sheetData>
    <row r="1" spans="1:11" ht="15" customHeight="1" x14ac:dyDescent="0.25">
      <c r="A1" s="6" t="s">
        <v>13</v>
      </c>
      <c r="B1" s="12" t="s">
        <v>0</v>
      </c>
      <c r="C1" s="13"/>
      <c r="D1" s="13"/>
      <c r="E1" s="14"/>
      <c r="F1" s="12" t="s">
        <v>1</v>
      </c>
      <c r="G1" s="13"/>
      <c r="H1" s="13"/>
      <c r="I1" s="14"/>
      <c r="J1" s="9" t="s">
        <v>8</v>
      </c>
      <c r="K1" s="9" t="s">
        <v>9</v>
      </c>
    </row>
    <row r="2" spans="1:11" x14ac:dyDescent="0.25">
      <c r="A2" s="7"/>
      <c r="B2" s="6" t="s">
        <v>2</v>
      </c>
      <c r="C2" s="6" t="s">
        <v>3</v>
      </c>
      <c r="D2" s="6" t="s">
        <v>5</v>
      </c>
      <c r="E2" s="6" t="s">
        <v>4</v>
      </c>
      <c r="F2" s="6" t="s">
        <v>2</v>
      </c>
      <c r="G2" s="6" t="s">
        <v>3</v>
      </c>
      <c r="H2" s="6" t="s">
        <v>5</v>
      </c>
      <c r="I2" s="6" t="s">
        <v>4</v>
      </c>
      <c r="J2" s="10"/>
      <c r="K2" s="10"/>
    </row>
    <row r="3" spans="1:11" x14ac:dyDescent="0.25">
      <c r="A3" s="8"/>
      <c r="B3" s="8"/>
      <c r="C3" s="8"/>
      <c r="D3" s="8"/>
      <c r="E3" s="8"/>
      <c r="F3" s="8"/>
      <c r="G3" s="8"/>
      <c r="H3" s="8"/>
      <c r="I3" s="8"/>
      <c r="J3" s="11"/>
      <c r="K3" s="11"/>
    </row>
    <row r="4" spans="1:11" x14ac:dyDescent="0.25">
      <c r="A4" s="2" t="s">
        <v>6</v>
      </c>
      <c r="B4" s="28">
        <v>550</v>
      </c>
      <c r="C4" s="28">
        <v>550</v>
      </c>
      <c r="D4" s="28">
        <v>0</v>
      </c>
      <c r="E4" s="29">
        <v>7.9744338989257813E-2</v>
      </c>
      <c r="F4" s="28">
        <v>550</v>
      </c>
      <c r="G4" s="28">
        <v>550</v>
      </c>
      <c r="H4" s="28">
        <v>0</v>
      </c>
      <c r="I4" s="29">
        <v>7.4018001556396484E-2</v>
      </c>
      <c r="J4" s="30">
        <v>3.25</v>
      </c>
      <c r="K4" s="1">
        <v>0.7</v>
      </c>
    </row>
    <row r="5" spans="1:11" x14ac:dyDescent="0.25">
      <c r="A5" s="2" t="s">
        <v>6</v>
      </c>
      <c r="B5" s="28">
        <v>459</v>
      </c>
      <c r="C5" s="28">
        <v>459</v>
      </c>
      <c r="D5" s="28">
        <v>0</v>
      </c>
      <c r="E5" s="29">
        <v>0.20105886459350589</v>
      </c>
      <c r="F5" s="28">
        <v>459</v>
      </c>
      <c r="G5" s="28">
        <v>459</v>
      </c>
      <c r="H5" s="28">
        <v>0</v>
      </c>
      <c r="I5" s="29">
        <v>7.5101613998413086E-2</v>
      </c>
      <c r="J5" s="30">
        <v>3.5</v>
      </c>
      <c r="K5" s="1">
        <v>0.7</v>
      </c>
    </row>
    <row r="6" spans="1:11" x14ac:dyDescent="0.25">
      <c r="A6" s="2" t="s">
        <v>6</v>
      </c>
      <c r="B6" s="28">
        <v>370</v>
      </c>
      <c r="C6" s="28">
        <v>370</v>
      </c>
      <c r="D6" s="28">
        <v>0</v>
      </c>
      <c r="E6" s="29">
        <v>0.13555574417114261</v>
      </c>
      <c r="F6" s="28">
        <v>370</v>
      </c>
      <c r="G6" s="28">
        <v>370</v>
      </c>
      <c r="H6" s="28">
        <v>0</v>
      </c>
      <c r="I6" s="29">
        <v>0.15786123275756839</v>
      </c>
      <c r="J6" s="30">
        <v>3.75</v>
      </c>
      <c r="K6" s="1">
        <v>0.7</v>
      </c>
    </row>
    <row r="7" spans="1:11" x14ac:dyDescent="0.25">
      <c r="A7" s="2" t="s">
        <v>6</v>
      </c>
      <c r="B7" s="28">
        <v>319</v>
      </c>
      <c r="C7" s="28">
        <v>319</v>
      </c>
      <c r="D7" s="28">
        <v>0</v>
      </c>
      <c r="E7" s="29">
        <v>0.50643515586853027</v>
      </c>
      <c r="F7" s="28">
        <v>319</v>
      </c>
      <c r="G7" s="28">
        <v>319</v>
      </c>
      <c r="H7" s="28">
        <v>0</v>
      </c>
      <c r="I7" s="29">
        <v>0.6277315616607666</v>
      </c>
      <c r="J7" s="30">
        <v>4</v>
      </c>
      <c r="K7" s="1">
        <v>0.7</v>
      </c>
    </row>
    <row r="8" spans="1:11" x14ac:dyDescent="0.25">
      <c r="A8" s="2" t="s">
        <v>6</v>
      </c>
      <c r="B8" s="28">
        <v>269</v>
      </c>
      <c r="C8" s="28">
        <v>269</v>
      </c>
      <c r="D8" s="28">
        <v>0</v>
      </c>
      <c r="E8" s="29">
        <v>0.5412757396697998</v>
      </c>
      <c r="F8" s="28">
        <v>269</v>
      </c>
      <c r="G8" s="28">
        <v>269</v>
      </c>
      <c r="H8" s="28">
        <v>0</v>
      </c>
      <c r="I8" s="29">
        <v>0.97170352935791016</v>
      </c>
      <c r="J8" s="30">
        <v>4.25</v>
      </c>
      <c r="K8" s="1">
        <v>0.7</v>
      </c>
    </row>
    <row r="9" spans="1:11" x14ac:dyDescent="0.25">
      <c r="A9" s="23" t="s">
        <v>7</v>
      </c>
      <c r="B9" s="24">
        <f t="shared" ref="B9:I9" si="0">AVERAGE(B1:B8)</f>
        <v>393.4</v>
      </c>
      <c r="C9" s="24">
        <f t="shared" si="0"/>
        <v>393.4</v>
      </c>
      <c r="D9" s="25">
        <f t="shared" si="0"/>
        <v>0</v>
      </c>
      <c r="E9" s="24">
        <f t="shared" si="0"/>
        <v>0.29281396865844728</v>
      </c>
      <c r="F9" s="24">
        <f t="shared" si="0"/>
        <v>393.4</v>
      </c>
      <c r="G9" s="24">
        <f t="shared" si="0"/>
        <v>393.4</v>
      </c>
      <c r="H9" s="25">
        <f t="shared" si="0"/>
        <v>0</v>
      </c>
      <c r="I9" s="24">
        <f t="shared" si="0"/>
        <v>0.38128318786621096</v>
      </c>
      <c r="J9" s="4"/>
      <c r="K9" s="5"/>
    </row>
    <row r="10" spans="1:11" x14ac:dyDescent="0.25">
      <c r="A10" s="17"/>
      <c r="B10" s="15"/>
      <c r="C10" s="15"/>
      <c r="D10" s="3"/>
      <c r="E10" s="16"/>
      <c r="F10" s="15"/>
      <c r="G10" s="15"/>
      <c r="H10" s="3"/>
      <c r="I10" s="16"/>
      <c r="J10" s="15"/>
      <c r="K10" s="18"/>
    </row>
    <row r="11" spans="1:11" x14ac:dyDescent="0.25">
      <c r="A11" s="17"/>
      <c r="B11" s="15"/>
      <c r="C11" s="15"/>
      <c r="D11" s="3"/>
      <c r="E11" s="16"/>
      <c r="F11" s="15"/>
      <c r="G11" s="15"/>
      <c r="H11" s="3"/>
      <c r="I11" s="16"/>
      <c r="J11" s="15"/>
      <c r="K11" s="18"/>
    </row>
    <row r="12" spans="1:11" x14ac:dyDescent="0.25">
      <c r="A12" s="19"/>
      <c r="B12" s="20"/>
      <c r="C12" s="20"/>
      <c r="D12" s="21"/>
      <c r="E12" s="20"/>
      <c r="F12" s="20"/>
      <c r="G12" s="20"/>
      <c r="H12" s="21"/>
      <c r="I12" s="20"/>
      <c r="J12" s="22"/>
      <c r="K12" s="22"/>
    </row>
  </sheetData>
  <mergeCells count="15">
    <mergeCell ref="J12:K12"/>
    <mergeCell ref="A1:A3"/>
    <mergeCell ref="B2:B3"/>
    <mergeCell ref="C2:C3"/>
    <mergeCell ref="D2:D3"/>
    <mergeCell ref="E2:E3"/>
    <mergeCell ref="H2:H3"/>
    <mergeCell ref="I2:I3"/>
    <mergeCell ref="J1:J3"/>
    <mergeCell ref="K1:K3"/>
    <mergeCell ref="B1:E1"/>
    <mergeCell ref="F1:I1"/>
    <mergeCell ref="F2:F3"/>
    <mergeCell ref="G2:G3"/>
    <mergeCell ref="J9:K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20DF-9FB9-456C-B214-F49C528CD7DA}">
  <dimension ref="A1:K12"/>
  <sheetViews>
    <sheetView workbookViewId="0">
      <selection activeCell="I4" sqref="I4:I8"/>
    </sheetView>
  </sheetViews>
  <sheetFormatPr defaultRowHeight="15" x14ac:dyDescent="0.25"/>
  <cols>
    <col min="1" max="1" width="42.28515625" bestFit="1" customWidth="1"/>
    <col min="5" max="5" width="13.42578125" bestFit="1" customWidth="1"/>
    <col min="9" max="9" width="13.42578125" bestFit="1" customWidth="1"/>
    <col min="10" max="10" width="9.5703125" customWidth="1"/>
  </cols>
  <sheetData>
    <row r="1" spans="1:11" ht="15" customHeight="1" x14ac:dyDescent="0.25">
      <c r="A1" s="6" t="s">
        <v>12</v>
      </c>
      <c r="B1" s="12" t="s">
        <v>0</v>
      </c>
      <c r="C1" s="13"/>
      <c r="D1" s="13"/>
      <c r="E1" s="14"/>
      <c r="F1" s="12" t="s">
        <v>1</v>
      </c>
      <c r="G1" s="13"/>
      <c r="H1" s="13"/>
      <c r="I1" s="14"/>
      <c r="J1" s="9" t="s">
        <v>8</v>
      </c>
      <c r="K1" s="9" t="s">
        <v>9</v>
      </c>
    </row>
    <row r="2" spans="1:11" x14ac:dyDescent="0.25">
      <c r="A2" s="7"/>
      <c r="B2" s="6" t="s">
        <v>2</v>
      </c>
      <c r="C2" s="6" t="s">
        <v>3</v>
      </c>
      <c r="D2" s="6" t="s">
        <v>5</v>
      </c>
      <c r="E2" s="6" t="s">
        <v>4</v>
      </c>
      <c r="F2" s="6" t="s">
        <v>2</v>
      </c>
      <c r="G2" s="6" t="s">
        <v>3</v>
      </c>
      <c r="H2" s="6" t="s">
        <v>5</v>
      </c>
      <c r="I2" s="6" t="s">
        <v>4</v>
      </c>
      <c r="J2" s="10"/>
      <c r="K2" s="10"/>
    </row>
    <row r="3" spans="1:11" x14ac:dyDescent="0.25">
      <c r="A3" s="8"/>
      <c r="B3" s="8"/>
      <c r="C3" s="8"/>
      <c r="D3" s="8"/>
      <c r="E3" s="8"/>
      <c r="F3" s="8"/>
      <c r="G3" s="8"/>
      <c r="H3" s="8"/>
      <c r="I3" s="8"/>
      <c r="J3" s="11"/>
      <c r="K3" s="11"/>
    </row>
    <row r="4" spans="1:11" x14ac:dyDescent="0.25">
      <c r="A4" s="28" t="s">
        <v>10</v>
      </c>
      <c r="B4" s="28">
        <v>669</v>
      </c>
      <c r="C4" s="28">
        <v>669</v>
      </c>
      <c r="D4" s="28">
        <v>0</v>
      </c>
      <c r="E4" s="29">
        <v>2.969690084457397</v>
      </c>
      <c r="F4" s="28">
        <v>669</v>
      </c>
      <c r="G4" s="28">
        <v>669</v>
      </c>
      <c r="H4" s="28">
        <v>0</v>
      </c>
      <c r="I4" s="29">
        <v>3.235840797424316</v>
      </c>
      <c r="J4" s="30">
        <v>3.25</v>
      </c>
      <c r="K4" s="1">
        <v>0.7</v>
      </c>
    </row>
    <row r="5" spans="1:11" x14ac:dyDescent="0.25">
      <c r="A5" s="28" t="s">
        <v>11</v>
      </c>
      <c r="B5" s="28">
        <v>519</v>
      </c>
      <c r="C5" s="28">
        <v>519</v>
      </c>
      <c r="D5" s="28">
        <v>0</v>
      </c>
      <c r="E5" s="29">
        <v>5.2336163520812988</v>
      </c>
      <c r="F5" s="28">
        <v>519</v>
      </c>
      <c r="G5" s="28">
        <v>519</v>
      </c>
      <c r="H5" s="28">
        <v>0</v>
      </c>
      <c r="I5" s="29">
        <v>4.8386924266815194</v>
      </c>
      <c r="J5" s="30">
        <v>3.5</v>
      </c>
      <c r="K5" s="1">
        <v>0.7</v>
      </c>
    </row>
    <row r="6" spans="1:11" x14ac:dyDescent="0.25">
      <c r="A6" s="28" t="s">
        <v>19</v>
      </c>
      <c r="B6" s="28">
        <v>417</v>
      </c>
      <c r="C6" s="28">
        <v>417</v>
      </c>
      <c r="D6" s="28">
        <v>0</v>
      </c>
      <c r="E6" s="29">
        <v>2.2757115364074711</v>
      </c>
      <c r="F6" s="28">
        <v>417</v>
      </c>
      <c r="G6" s="28">
        <v>417</v>
      </c>
      <c r="H6" s="28">
        <v>0</v>
      </c>
      <c r="I6" s="29">
        <v>1.841626882553101</v>
      </c>
      <c r="J6" s="30">
        <v>3.75</v>
      </c>
      <c r="K6" s="1">
        <v>0.7</v>
      </c>
    </row>
    <row r="7" spans="1:11" x14ac:dyDescent="0.25">
      <c r="A7" s="28" t="s">
        <v>20</v>
      </c>
      <c r="B7" s="28">
        <v>330.0000000001512</v>
      </c>
      <c r="C7" s="28">
        <v>330.0000000001512</v>
      </c>
      <c r="D7" s="28">
        <v>0</v>
      </c>
      <c r="E7" s="29">
        <v>2.39594554901123</v>
      </c>
      <c r="F7" s="28">
        <v>330</v>
      </c>
      <c r="G7" s="28">
        <v>330</v>
      </c>
      <c r="H7" s="28">
        <v>0</v>
      </c>
      <c r="I7" s="29">
        <v>2.1524662971496582</v>
      </c>
      <c r="J7" s="30">
        <v>4</v>
      </c>
      <c r="K7" s="1">
        <v>0.7</v>
      </c>
    </row>
    <row r="8" spans="1:11" x14ac:dyDescent="0.25">
      <c r="A8" s="28" t="s">
        <v>21</v>
      </c>
      <c r="B8" s="28">
        <v>277</v>
      </c>
      <c r="C8" s="28">
        <v>277</v>
      </c>
      <c r="D8" s="28">
        <v>0</v>
      </c>
      <c r="E8" s="29">
        <v>5.0223839282989502</v>
      </c>
      <c r="F8" s="28">
        <v>277</v>
      </c>
      <c r="G8" s="28">
        <v>277</v>
      </c>
      <c r="H8" s="28">
        <v>0</v>
      </c>
      <c r="I8" s="29">
        <v>4.681516170501709</v>
      </c>
      <c r="J8" s="30">
        <v>4.25</v>
      </c>
      <c r="K8" s="1">
        <v>0.7</v>
      </c>
    </row>
    <row r="9" spans="1:11" x14ac:dyDescent="0.25">
      <c r="A9" s="23" t="s">
        <v>7</v>
      </c>
      <c r="B9" s="24">
        <f t="shared" ref="B9:I9" si="0">AVERAGE(B1:B8)</f>
        <v>442.40000000003022</v>
      </c>
      <c r="C9" s="24">
        <f t="shared" si="0"/>
        <v>442.40000000003022</v>
      </c>
      <c r="D9" s="25">
        <f t="shared" si="0"/>
        <v>0</v>
      </c>
      <c r="E9" s="24">
        <f t="shared" si="0"/>
        <v>3.5794694900512694</v>
      </c>
      <c r="F9" s="24">
        <f t="shared" si="0"/>
        <v>442.4</v>
      </c>
      <c r="G9" s="24">
        <f t="shared" si="0"/>
        <v>442.4</v>
      </c>
      <c r="H9" s="25">
        <f t="shared" si="0"/>
        <v>0</v>
      </c>
      <c r="I9" s="24">
        <f t="shared" si="0"/>
        <v>3.3500285148620605</v>
      </c>
      <c r="J9" s="4"/>
      <c r="K9" s="5"/>
    </row>
    <row r="10" spans="1:11" x14ac:dyDescent="0.25">
      <c r="A10" s="15"/>
      <c r="B10" s="15"/>
      <c r="C10" s="15"/>
      <c r="D10" s="3"/>
      <c r="E10" s="16"/>
      <c r="F10" s="15"/>
      <c r="G10" s="15"/>
      <c r="H10" s="3"/>
      <c r="I10" s="16"/>
      <c r="J10" s="15"/>
      <c r="K10" s="18"/>
    </row>
    <row r="11" spans="1:11" x14ac:dyDescent="0.25">
      <c r="A11" s="15"/>
      <c r="B11" s="15"/>
      <c r="C11" s="15"/>
      <c r="D11" s="3"/>
      <c r="E11" s="16"/>
      <c r="F11" s="15"/>
      <c r="G11" s="15"/>
      <c r="H11" s="3"/>
      <c r="I11" s="16"/>
      <c r="J11" s="15"/>
      <c r="K11" s="18"/>
    </row>
    <row r="12" spans="1:11" x14ac:dyDescent="0.25">
      <c r="A12" s="26"/>
      <c r="B12" s="16"/>
      <c r="C12" s="16"/>
      <c r="D12" s="3"/>
      <c r="E12" s="16"/>
      <c r="F12" s="16"/>
      <c r="G12" s="16"/>
      <c r="H12" s="3"/>
      <c r="I12" s="16"/>
      <c r="J12" s="27"/>
      <c r="K12" s="27"/>
    </row>
  </sheetData>
  <mergeCells count="15">
    <mergeCell ref="J12:K12"/>
    <mergeCell ref="I2:I3"/>
    <mergeCell ref="J1:J3"/>
    <mergeCell ref="K1:K3"/>
    <mergeCell ref="A1:A3"/>
    <mergeCell ref="B1:E1"/>
    <mergeCell ref="F1:I1"/>
    <mergeCell ref="B2:B3"/>
    <mergeCell ref="C2:C3"/>
    <mergeCell ref="D2:D3"/>
    <mergeCell ref="E2:E3"/>
    <mergeCell ref="F2:F3"/>
    <mergeCell ref="G2:G3"/>
    <mergeCell ref="H2:H3"/>
    <mergeCell ref="J9:K9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0DD7-5856-467E-B4B3-14B8E04C62A9}">
  <dimension ref="A1:K12"/>
  <sheetViews>
    <sheetView workbookViewId="0">
      <selection activeCell="E9" sqref="E9"/>
    </sheetView>
  </sheetViews>
  <sheetFormatPr defaultRowHeight="15" x14ac:dyDescent="0.25"/>
  <cols>
    <col min="1" max="1" width="42.28515625" bestFit="1" customWidth="1"/>
    <col min="5" max="5" width="13.42578125" bestFit="1" customWidth="1"/>
    <col min="9" max="9" width="13.42578125" bestFit="1" customWidth="1"/>
    <col min="10" max="10" width="9.5703125" customWidth="1"/>
  </cols>
  <sheetData>
    <row r="1" spans="1:11" ht="15" customHeight="1" x14ac:dyDescent="0.25">
      <c r="A1" s="6" t="s">
        <v>14</v>
      </c>
      <c r="B1" s="12" t="s">
        <v>0</v>
      </c>
      <c r="C1" s="13"/>
      <c r="D1" s="13"/>
      <c r="E1" s="14"/>
      <c r="F1" s="12" t="s">
        <v>1</v>
      </c>
      <c r="G1" s="13"/>
      <c r="H1" s="13"/>
      <c r="I1" s="14"/>
      <c r="J1" s="9" t="s">
        <v>8</v>
      </c>
      <c r="K1" s="9" t="s">
        <v>9</v>
      </c>
    </row>
    <row r="2" spans="1:11" x14ac:dyDescent="0.25">
      <c r="A2" s="7"/>
      <c r="B2" s="6" t="s">
        <v>2</v>
      </c>
      <c r="C2" s="6" t="s">
        <v>3</v>
      </c>
      <c r="D2" s="6" t="s">
        <v>5</v>
      </c>
      <c r="E2" s="6" t="s">
        <v>4</v>
      </c>
      <c r="F2" s="6" t="s">
        <v>2</v>
      </c>
      <c r="G2" s="6" t="s">
        <v>3</v>
      </c>
      <c r="H2" s="6" t="s">
        <v>5</v>
      </c>
      <c r="I2" s="6" t="s">
        <v>4</v>
      </c>
      <c r="J2" s="10"/>
      <c r="K2" s="10"/>
    </row>
    <row r="3" spans="1:11" x14ac:dyDescent="0.25">
      <c r="A3" s="8"/>
      <c r="B3" s="8"/>
      <c r="C3" s="8"/>
      <c r="D3" s="8"/>
      <c r="E3" s="8"/>
      <c r="F3" s="8"/>
      <c r="G3" s="8"/>
      <c r="H3" s="8"/>
      <c r="I3" s="8"/>
      <c r="J3" s="11"/>
      <c r="K3" s="11"/>
    </row>
    <row r="4" spans="1:11" x14ac:dyDescent="0.25">
      <c r="A4" s="28" t="s">
        <v>15</v>
      </c>
      <c r="B4" s="28">
        <v>517</v>
      </c>
      <c r="C4" s="28">
        <v>517</v>
      </c>
      <c r="D4" s="28">
        <v>0</v>
      </c>
      <c r="E4" s="29">
        <v>5.9412992000579834</v>
      </c>
      <c r="F4" s="28">
        <v>517</v>
      </c>
      <c r="G4" s="28">
        <v>517</v>
      </c>
      <c r="H4" s="28">
        <v>0</v>
      </c>
      <c r="I4" s="29">
        <v>6.5336987972259521</v>
      </c>
      <c r="J4" s="30">
        <v>3.25</v>
      </c>
      <c r="K4" s="1">
        <v>0.7</v>
      </c>
    </row>
    <row r="5" spans="1:11" x14ac:dyDescent="0.25">
      <c r="A5" s="28" t="s">
        <v>16</v>
      </c>
      <c r="B5" s="28">
        <v>408</v>
      </c>
      <c r="C5" s="28">
        <v>408</v>
      </c>
      <c r="D5" s="28">
        <v>0</v>
      </c>
      <c r="E5" s="29">
        <v>3.995455265045166</v>
      </c>
      <c r="F5" s="28">
        <v>408</v>
      </c>
      <c r="G5" s="28">
        <v>408</v>
      </c>
      <c r="H5" s="28">
        <v>0</v>
      </c>
      <c r="I5" s="29">
        <v>3.251513004302979</v>
      </c>
      <c r="J5" s="30">
        <v>3.5</v>
      </c>
      <c r="K5" s="1">
        <v>0.7</v>
      </c>
    </row>
    <row r="6" spans="1:11" x14ac:dyDescent="0.25">
      <c r="A6" s="28" t="s">
        <v>22</v>
      </c>
      <c r="B6" s="28">
        <v>324</v>
      </c>
      <c r="C6" s="28">
        <v>324</v>
      </c>
      <c r="D6" s="28">
        <v>0</v>
      </c>
      <c r="E6" s="29">
        <v>10.344333648681641</v>
      </c>
      <c r="F6" s="28">
        <v>324</v>
      </c>
      <c r="G6" s="28">
        <v>324</v>
      </c>
      <c r="H6" s="28">
        <v>0</v>
      </c>
      <c r="I6" s="29">
        <v>6.4306261539459229</v>
      </c>
      <c r="J6" s="30">
        <v>3.75</v>
      </c>
      <c r="K6" s="1">
        <v>0.7</v>
      </c>
    </row>
    <row r="7" spans="1:11" x14ac:dyDescent="0.25">
      <c r="A7" s="28" t="s">
        <v>23</v>
      </c>
      <c r="B7" s="28">
        <v>275</v>
      </c>
      <c r="C7" s="28">
        <v>275</v>
      </c>
      <c r="D7" s="28">
        <v>0</v>
      </c>
      <c r="E7" s="29">
        <v>25.089217185974121</v>
      </c>
      <c r="F7" s="28">
        <v>275</v>
      </c>
      <c r="G7" s="28">
        <v>275</v>
      </c>
      <c r="H7" s="28">
        <v>0</v>
      </c>
      <c r="I7" s="29">
        <v>8.8278663158416748</v>
      </c>
      <c r="J7" s="30">
        <v>4</v>
      </c>
      <c r="K7" s="1">
        <v>0.7</v>
      </c>
    </row>
    <row r="8" spans="1:11" x14ac:dyDescent="0.25">
      <c r="A8" s="28" t="s">
        <v>24</v>
      </c>
      <c r="B8" s="28">
        <v>238</v>
      </c>
      <c r="C8" s="28">
        <v>238</v>
      </c>
      <c r="D8" s="28">
        <v>0</v>
      </c>
      <c r="E8" s="29">
        <v>8.536463737487793</v>
      </c>
      <c r="F8" s="28">
        <v>238</v>
      </c>
      <c r="G8" s="28">
        <v>238</v>
      </c>
      <c r="H8" s="28">
        <v>0</v>
      </c>
      <c r="I8" s="29">
        <v>14.32716274261475</v>
      </c>
      <c r="J8" s="30">
        <v>4.25</v>
      </c>
      <c r="K8" s="1">
        <v>0.7</v>
      </c>
    </row>
    <row r="9" spans="1:11" x14ac:dyDescent="0.25">
      <c r="A9" s="23" t="s">
        <v>7</v>
      </c>
      <c r="B9" s="24">
        <f t="shared" ref="B9:I9" si="0">AVERAGE(B1:B8)</f>
        <v>352.4</v>
      </c>
      <c r="C9" s="24">
        <f t="shared" si="0"/>
        <v>352.4</v>
      </c>
      <c r="D9" s="25">
        <f t="shared" si="0"/>
        <v>0</v>
      </c>
      <c r="E9" s="24">
        <f>AVERAGE(E1:E8)</f>
        <v>10.78135380744934</v>
      </c>
      <c r="F9" s="24">
        <f t="shared" si="0"/>
        <v>352.4</v>
      </c>
      <c r="G9" s="24">
        <f t="shared" si="0"/>
        <v>352.4</v>
      </c>
      <c r="H9" s="25">
        <f t="shared" si="0"/>
        <v>0</v>
      </c>
      <c r="I9" s="24">
        <f t="shared" si="0"/>
        <v>7.8741734027862549</v>
      </c>
      <c r="J9" s="4"/>
      <c r="K9" s="5"/>
    </row>
    <row r="10" spans="1:11" x14ac:dyDescent="0.25">
      <c r="A10" s="17"/>
      <c r="B10" s="15"/>
      <c r="C10" s="15"/>
      <c r="D10" s="3"/>
      <c r="E10" s="16"/>
      <c r="F10" s="15"/>
      <c r="G10" s="15"/>
      <c r="H10" s="3"/>
      <c r="I10" s="16"/>
      <c r="J10" s="15"/>
      <c r="K10" s="18"/>
    </row>
    <row r="11" spans="1:11" x14ac:dyDescent="0.25">
      <c r="A11" s="17"/>
      <c r="B11" s="15"/>
      <c r="C11" s="15"/>
      <c r="D11" s="3"/>
      <c r="E11" s="16"/>
      <c r="F11" s="15"/>
      <c r="G11" s="15"/>
      <c r="H11" s="3"/>
      <c r="I11" s="16"/>
      <c r="J11" s="15"/>
      <c r="K11" s="18"/>
    </row>
    <row r="12" spans="1:11" x14ac:dyDescent="0.25">
      <c r="A12" s="26"/>
      <c r="B12" s="16"/>
      <c r="C12" s="16"/>
      <c r="D12" s="3"/>
      <c r="E12" s="16"/>
      <c r="F12" s="16"/>
      <c r="G12" s="16"/>
      <c r="H12" s="3"/>
      <c r="I12" s="16"/>
      <c r="J12" s="27"/>
      <c r="K12" s="27"/>
    </row>
  </sheetData>
  <mergeCells count="15">
    <mergeCell ref="A1:A3"/>
    <mergeCell ref="B1:E1"/>
    <mergeCell ref="F1:I1"/>
    <mergeCell ref="J9:K9"/>
    <mergeCell ref="J12:K12"/>
    <mergeCell ref="J1:J3"/>
    <mergeCell ref="K1:K3"/>
    <mergeCell ref="B2:B3"/>
    <mergeCell ref="C2:C3"/>
    <mergeCell ref="D2:D3"/>
    <mergeCell ref="E2:E3"/>
    <mergeCell ref="F2:F3"/>
    <mergeCell ref="G2:G3"/>
    <mergeCell ref="H2:H3"/>
    <mergeCell ref="I2:I3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E463-5032-4972-8D59-0F535CBC7CDE}">
  <dimension ref="A1:K9"/>
  <sheetViews>
    <sheetView workbookViewId="0">
      <selection activeCell="E15" sqref="E15"/>
    </sheetView>
  </sheetViews>
  <sheetFormatPr defaultRowHeight="15" x14ac:dyDescent="0.25"/>
  <cols>
    <col min="1" max="1" width="42.28515625" bestFit="1" customWidth="1"/>
    <col min="5" max="5" width="13.42578125" bestFit="1" customWidth="1"/>
    <col min="9" max="9" width="13.42578125" bestFit="1" customWidth="1"/>
    <col min="10" max="10" width="9.7109375" customWidth="1"/>
  </cols>
  <sheetData>
    <row r="1" spans="1:11" x14ac:dyDescent="0.25">
      <c r="A1" s="6" t="s">
        <v>17</v>
      </c>
      <c r="B1" s="12" t="s">
        <v>0</v>
      </c>
      <c r="C1" s="13"/>
      <c r="D1" s="13"/>
      <c r="E1" s="14"/>
      <c r="F1" s="12" t="s">
        <v>1</v>
      </c>
      <c r="G1" s="13"/>
      <c r="H1" s="13"/>
      <c r="I1" s="14"/>
      <c r="J1" s="9" t="s">
        <v>8</v>
      </c>
      <c r="K1" s="9" t="s">
        <v>9</v>
      </c>
    </row>
    <row r="2" spans="1:11" x14ac:dyDescent="0.25">
      <c r="A2" s="7"/>
      <c r="B2" s="6" t="s">
        <v>2</v>
      </c>
      <c r="C2" s="6" t="s">
        <v>3</v>
      </c>
      <c r="D2" s="6" t="s">
        <v>5</v>
      </c>
      <c r="E2" s="6" t="s">
        <v>4</v>
      </c>
      <c r="F2" s="6" t="s">
        <v>2</v>
      </c>
      <c r="G2" s="6" t="s">
        <v>3</v>
      </c>
      <c r="H2" s="6" t="s">
        <v>5</v>
      </c>
      <c r="I2" s="6" t="s">
        <v>4</v>
      </c>
      <c r="J2" s="10"/>
      <c r="K2" s="10"/>
    </row>
    <row r="3" spans="1:11" x14ac:dyDescent="0.25">
      <c r="A3" s="8"/>
      <c r="B3" s="8"/>
      <c r="C3" s="8"/>
      <c r="D3" s="8"/>
      <c r="E3" s="8"/>
      <c r="F3" s="8"/>
      <c r="G3" s="8"/>
      <c r="H3" s="8"/>
      <c r="I3" s="8"/>
      <c r="J3" s="11"/>
      <c r="K3" s="11"/>
    </row>
    <row r="4" spans="1:11" x14ac:dyDescent="0.25">
      <c r="A4" s="28" t="s">
        <v>25</v>
      </c>
      <c r="B4" s="28">
        <v>611</v>
      </c>
      <c r="C4" s="28">
        <v>611</v>
      </c>
      <c r="D4" s="28">
        <v>0</v>
      </c>
      <c r="E4" s="29">
        <v>291.77298808097839</v>
      </c>
      <c r="F4" s="28">
        <v>611</v>
      </c>
      <c r="G4" s="28">
        <v>611</v>
      </c>
      <c r="H4" s="28">
        <v>0</v>
      </c>
      <c r="I4" s="29">
        <v>120.60963129997251</v>
      </c>
      <c r="J4" s="30">
        <v>3.25</v>
      </c>
      <c r="K4" s="1">
        <v>0.7</v>
      </c>
    </row>
    <row r="5" spans="1:11" x14ac:dyDescent="0.25">
      <c r="A5" s="28" t="s">
        <v>26</v>
      </c>
      <c r="B5" s="28">
        <v>478</v>
      </c>
      <c r="C5" s="28">
        <v>478</v>
      </c>
      <c r="D5" s="28">
        <v>0</v>
      </c>
      <c r="E5" s="29">
        <v>16.511301517486569</v>
      </c>
      <c r="F5" s="28">
        <v>478</v>
      </c>
      <c r="G5" s="28">
        <v>478</v>
      </c>
      <c r="H5" s="28">
        <v>0</v>
      </c>
      <c r="I5" s="29">
        <v>7.822831392288208</v>
      </c>
      <c r="J5" s="30">
        <v>3.5</v>
      </c>
      <c r="K5" s="1">
        <v>0.7</v>
      </c>
    </row>
    <row r="6" spans="1:11" x14ac:dyDescent="0.25">
      <c r="A6" s="28" t="s">
        <v>27</v>
      </c>
      <c r="B6" s="28">
        <v>373</v>
      </c>
      <c r="C6" s="28">
        <v>373</v>
      </c>
      <c r="D6" s="28">
        <v>0</v>
      </c>
      <c r="E6" s="29">
        <v>51.485906600952148</v>
      </c>
      <c r="F6" s="28">
        <v>373</v>
      </c>
      <c r="G6" s="28">
        <v>373</v>
      </c>
      <c r="H6" s="28">
        <v>0</v>
      </c>
      <c r="I6" s="29">
        <v>23.78416275978088</v>
      </c>
      <c r="J6" s="30">
        <v>3.75</v>
      </c>
      <c r="K6" s="1">
        <v>0.7</v>
      </c>
    </row>
    <row r="7" spans="1:11" x14ac:dyDescent="0.25">
      <c r="A7" s="28" t="s">
        <v>28</v>
      </c>
      <c r="B7" s="28">
        <v>325</v>
      </c>
      <c r="C7" s="28">
        <v>325</v>
      </c>
      <c r="D7" s="28">
        <v>0</v>
      </c>
      <c r="E7" s="29">
        <v>127.78614950180049</v>
      </c>
      <c r="F7" s="28">
        <v>325</v>
      </c>
      <c r="G7" s="28">
        <v>325</v>
      </c>
      <c r="H7" s="28">
        <v>0</v>
      </c>
      <c r="I7" s="29">
        <v>101.7281475067139</v>
      </c>
      <c r="J7" s="30">
        <v>4</v>
      </c>
      <c r="K7" s="1">
        <v>0.7</v>
      </c>
    </row>
    <row r="8" spans="1:11" x14ac:dyDescent="0.25">
      <c r="A8" s="28" t="s">
        <v>29</v>
      </c>
      <c r="B8" s="28">
        <v>284</v>
      </c>
      <c r="C8" s="28">
        <v>284</v>
      </c>
      <c r="D8" s="28">
        <v>0</v>
      </c>
      <c r="E8" s="29">
        <v>229.82975602149961</v>
      </c>
      <c r="F8" s="28">
        <v>284</v>
      </c>
      <c r="G8" s="28">
        <v>284</v>
      </c>
      <c r="H8" s="28">
        <v>0</v>
      </c>
      <c r="I8" s="29">
        <v>175.61829829216001</v>
      </c>
      <c r="J8" s="30">
        <v>4.25</v>
      </c>
      <c r="K8" s="1">
        <v>0.7</v>
      </c>
    </row>
    <row r="9" spans="1:11" x14ac:dyDescent="0.25">
      <c r="A9" s="23" t="s">
        <v>7</v>
      </c>
      <c r="B9" s="24">
        <f t="shared" ref="B9:I9" si="0">AVERAGE(B1:B8)</f>
        <v>414.2</v>
      </c>
      <c r="C9" s="24">
        <f t="shared" si="0"/>
        <v>414.2</v>
      </c>
      <c r="D9" s="25">
        <f t="shared" si="0"/>
        <v>0</v>
      </c>
      <c r="E9" s="24">
        <f t="shared" si="0"/>
        <v>143.47722034454344</v>
      </c>
      <c r="F9" s="24">
        <f t="shared" si="0"/>
        <v>414.2</v>
      </c>
      <c r="G9" s="24">
        <f t="shared" si="0"/>
        <v>414.2</v>
      </c>
      <c r="H9" s="25">
        <f t="shared" si="0"/>
        <v>0</v>
      </c>
      <c r="I9" s="24">
        <f t="shared" si="0"/>
        <v>85.912614250183111</v>
      </c>
      <c r="J9" s="4"/>
      <c r="K9" s="5"/>
    </row>
  </sheetData>
  <mergeCells count="14">
    <mergeCell ref="G2:G3"/>
    <mergeCell ref="H2:H3"/>
    <mergeCell ref="I2:I3"/>
    <mergeCell ref="J9:K9"/>
    <mergeCell ref="A1:A3"/>
    <mergeCell ref="B1:E1"/>
    <mergeCell ref="F1:I1"/>
    <mergeCell ref="J1:J3"/>
    <mergeCell ref="K1:K3"/>
    <mergeCell ref="B2:B3"/>
    <mergeCell ref="C2:C3"/>
    <mergeCell ref="D2:D3"/>
    <mergeCell ref="E2:E3"/>
    <mergeCell ref="F2:F3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759F-7A11-42D5-8B35-04F1BA766F7D}">
  <dimension ref="A1:K9"/>
  <sheetViews>
    <sheetView workbookViewId="0">
      <selection activeCell="E19" sqref="E19"/>
    </sheetView>
  </sheetViews>
  <sheetFormatPr defaultRowHeight="15" x14ac:dyDescent="0.25"/>
  <cols>
    <col min="1" max="1" width="44.28515625" bestFit="1" customWidth="1"/>
    <col min="5" max="5" width="13.42578125" bestFit="1" customWidth="1"/>
    <col min="9" max="9" width="13.42578125" bestFit="1" customWidth="1"/>
    <col min="10" max="10" width="9.7109375" customWidth="1"/>
  </cols>
  <sheetData>
    <row r="1" spans="1:11" x14ac:dyDescent="0.25">
      <c r="A1" s="6" t="s">
        <v>18</v>
      </c>
      <c r="B1" s="12" t="s">
        <v>0</v>
      </c>
      <c r="C1" s="13"/>
      <c r="D1" s="13"/>
      <c r="E1" s="14"/>
      <c r="F1" s="12" t="s">
        <v>1</v>
      </c>
      <c r="G1" s="13"/>
      <c r="H1" s="13"/>
      <c r="I1" s="14"/>
      <c r="J1" s="9" t="s">
        <v>8</v>
      </c>
      <c r="K1" s="9" t="s">
        <v>9</v>
      </c>
    </row>
    <row r="2" spans="1:11" x14ac:dyDescent="0.25">
      <c r="A2" s="7"/>
      <c r="B2" s="6" t="s">
        <v>2</v>
      </c>
      <c r="C2" s="6" t="s">
        <v>3</v>
      </c>
      <c r="D2" s="6" t="s">
        <v>5</v>
      </c>
      <c r="E2" s="6" t="s">
        <v>4</v>
      </c>
      <c r="F2" s="6" t="s">
        <v>2</v>
      </c>
      <c r="G2" s="6" t="s">
        <v>3</v>
      </c>
      <c r="H2" s="6" t="s">
        <v>5</v>
      </c>
      <c r="I2" s="6" t="s">
        <v>4</v>
      </c>
      <c r="J2" s="10"/>
      <c r="K2" s="10"/>
    </row>
    <row r="3" spans="1:11" x14ac:dyDescent="0.25">
      <c r="A3" s="8"/>
      <c r="B3" s="8"/>
      <c r="C3" s="8"/>
      <c r="D3" s="8"/>
      <c r="E3" s="8"/>
      <c r="F3" s="8"/>
      <c r="G3" s="8"/>
      <c r="H3" s="8"/>
      <c r="I3" s="8"/>
      <c r="J3" s="11"/>
      <c r="K3" s="11"/>
    </row>
    <row r="4" spans="1:11" x14ac:dyDescent="0.25">
      <c r="A4" s="28" t="s">
        <v>30</v>
      </c>
      <c r="B4" s="28">
        <v>710</v>
      </c>
      <c r="C4" s="28">
        <v>710</v>
      </c>
      <c r="D4" s="28">
        <v>0</v>
      </c>
      <c r="E4" s="29">
        <v>714.49012565612793</v>
      </c>
      <c r="F4" s="28">
        <v>710</v>
      </c>
      <c r="G4" s="28">
        <v>710</v>
      </c>
      <c r="H4" s="28">
        <v>0</v>
      </c>
      <c r="I4" s="29">
        <v>159.20795178413391</v>
      </c>
      <c r="J4" s="30">
        <v>3.25</v>
      </c>
      <c r="K4" s="1">
        <v>0.7</v>
      </c>
    </row>
    <row r="5" spans="1:11" x14ac:dyDescent="0.25">
      <c r="A5" s="28" t="s">
        <v>31</v>
      </c>
      <c r="B5" s="28">
        <v>552</v>
      </c>
      <c r="C5" s="28">
        <v>552</v>
      </c>
      <c r="D5" s="28">
        <v>0</v>
      </c>
      <c r="E5" s="29">
        <v>898.14983463287354</v>
      </c>
      <c r="F5" s="28">
        <v>552</v>
      </c>
      <c r="G5" s="28">
        <v>552</v>
      </c>
      <c r="H5" s="28">
        <v>0</v>
      </c>
      <c r="I5" s="29">
        <v>170.85074162483221</v>
      </c>
      <c r="J5" s="30">
        <v>3.5</v>
      </c>
      <c r="K5" s="1">
        <v>0.7</v>
      </c>
    </row>
    <row r="6" spans="1:11" x14ac:dyDescent="0.25">
      <c r="A6" s="28" t="s">
        <v>32</v>
      </c>
      <c r="B6" s="28">
        <v>443</v>
      </c>
      <c r="C6" s="28">
        <v>443</v>
      </c>
      <c r="D6" s="28">
        <v>0</v>
      </c>
      <c r="E6" s="29">
        <v>1063.7911398410799</v>
      </c>
      <c r="F6" s="28">
        <v>443</v>
      </c>
      <c r="G6" s="28">
        <v>443</v>
      </c>
      <c r="H6" s="28">
        <v>0</v>
      </c>
      <c r="I6" s="29">
        <v>516.83855819702148</v>
      </c>
      <c r="J6" s="30">
        <v>3.75</v>
      </c>
      <c r="K6" s="1">
        <v>0.7</v>
      </c>
    </row>
    <row r="7" spans="1:11" x14ac:dyDescent="0.25">
      <c r="A7" s="28" t="s">
        <v>33</v>
      </c>
      <c r="B7" s="28">
        <v>363</v>
      </c>
      <c r="C7" s="28">
        <v>363</v>
      </c>
      <c r="D7" s="28">
        <v>0</v>
      </c>
      <c r="E7" s="29">
        <v>1222.120064258575</v>
      </c>
      <c r="F7" s="28">
        <v>363</v>
      </c>
      <c r="G7" s="28">
        <v>363</v>
      </c>
      <c r="H7" s="28">
        <v>0</v>
      </c>
      <c r="I7" s="29">
        <v>872.89074516296387</v>
      </c>
      <c r="J7" s="30">
        <v>4</v>
      </c>
      <c r="K7" s="1">
        <v>0.7</v>
      </c>
    </row>
    <row r="8" spans="1:11" x14ac:dyDescent="0.25">
      <c r="A8" s="28" t="s">
        <v>34</v>
      </c>
      <c r="B8" s="28">
        <v>292</v>
      </c>
      <c r="C8" s="28">
        <v>292</v>
      </c>
      <c r="D8" s="28">
        <v>0</v>
      </c>
      <c r="E8" s="29">
        <v>1344.663013458252</v>
      </c>
      <c r="F8" s="28">
        <v>292</v>
      </c>
      <c r="G8" s="28">
        <v>292</v>
      </c>
      <c r="H8" s="28">
        <v>0</v>
      </c>
      <c r="I8" s="29">
        <v>247.3797736167908</v>
      </c>
      <c r="J8" s="30">
        <v>4.25</v>
      </c>
      <c r="K8" s="1">
        <v>0.7</v>
      </c>
    </row>
    <row r="9" spans="1:11" x14ac:dyDescent="0.25">
      <c r="A9" s="23" t="s">
        <v>7</v>
      </c>
      <c r="B9" s="24">
        <f t="shared" ref="B9:I9" si="0">AVERAGE(B1:B8)</f>
        <v>472</v>
      </c>
      <c r="C9" s="24">
        <f t="shared" si="0"/>
        <v>472</v>
      </c>
      <c r="D9" s="25">
        <f t="shared" si="0"/>
        <v>0</v>
      </c>
      <c r="E9" s="24">
        <f t="shared" si="0"/>
        <v>1048.6428355693818</v>
      </c>
      <c r="F9" s="24">
        <f t="shared" si="0"/>
        <v>472</v>
      </c>
      <c r="G9" s="24">
        <f t="shared" si="0"/>
        <v>472</v>
      </c>
      <c r="H9" s="25">
        <f t="shared" si="0"/>
        <v>0</v>
      </c>
      <c r="I9" s="24">
        <f t="shared" si="0"/>
        <v>393.43355407714841</v>
      </c>
      <c r="J9" s="4"/>
      <c r="K9" s="5"/>
    </row>
  </sheetData>
  <mergeCells count="14">
    <mergeCell ref="G2:G3"/>
    <mergeCell ref="H2:H3"/>
    <mergeCell ref="I2:I3"/>
    <mergeCell ref="J9:K9"/>
    <mergeCell ref="A1:A3"/>
    <mergeCell ref="B1:E1"/>
    <mergeCell ref="F1:I1"/>
    <mergeCell ref="J1:J3"/>
    <mergeCell ref="K1:K3"/>
    <mergeCell ref="B2:B3"/>
    <mergeCell ref="C2:C3"/>
    <mergeCell ref="D2:D3"/>
    <mergeCell ref="E2:E3"/>
    <mergeCell ref="F2:F3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Pequenas</vt:lpstr>
      <vt:lpstr>Médias</vt:lpstr>
      <vt:lpstr>Grandes</vt:lpstr>
      <vt:lpstr>Enormes</vt:lpstr>
      <vt:lpstr>Gigantes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Layon José</dc:creator>
  <cp:lastModifiedBy>Layon José</cp:lastModifiedBy>
  <cp:lastPrinted>2025-11-16T21:59:15Z</cp:lastPrinted>
  <dcterms:created xsi:type="dcterms:W3CDTF">2025-11-16T20:38:49Z</dcterms:created>
  <dcterms:modified xsi:type="dcterms:W3CDTF">2025-11-30T14:38:40Z</dcterms:modified>
</cp:coreProperties>
</file>