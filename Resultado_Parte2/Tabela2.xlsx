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yon\Downloads\"/>
    </mc:Choice>
  </mc:AlternateContent>
  <xr:revisionPtr revIDLastSave="0" documentId="13_ncr:1_{0351C7F4-5B61-4D31-9857-1FBC662112B5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Pequenas" sheetId="1" r:id="rId1"/>
    <sheet name="Médias" sheetId="2" r:id="rId2"/>
    <sheet name="Grandes" sheetId="3" r:id="rId3"/>
  </sheets>
  <calcPr calcId="191029"/>
</workbook>
</file>

<file path=xl/calcChain.xml><?xml version="1.0" encoding="utf-8"?>
<calcChain xmlns="http://schemas.openxmlformats.org/spreadsheetml/2006/main">
  <c r="F7" i="3" l="1"/>
  <c r="E7" i="3"/>
  <c r="D7" i="3"/>
  <c r="C7" i="3"/>
  <c r="B7" i="3"/>
  <c r="F7" i="2"/>
  <c r="E7" i="2"/>
  <c r="D7" i="2"/>
  <c r="C7" i="2"/>
  <c r="B7" i="2"/>
  <c r="F7" i="1"/>
  <c r="E7" i="1"/>
  <c r="D7" i="1"/>
  <c r="C7" i="1"/>
  <c r="B7" i="1"/>
</calcChain>
</file>

<file path=xl/sharedStrings.xml><?xml version="1.0" encoding="utf-8"?>
<sst xmlns="http://schemas.openxmlformats.org/spreadsheetml/2006/main" count="42" uniqueCount="12">
  <si>
    <t>Instância</t>
  </si>
  <si>
    <t>Melhor FO</t>
  </si>
  <si>
    <t>FO Média</t>
  </si>
  <si>
    <t>Desvio (%)</t>
  </si>
  <si>
    <t>T. Médio</t>
  </si>
  <si>
    <t>T. Melhor</t>
  </si>
  <si>
    <t>GRID_PSCLP_n100_m1000_d1_100_f10_100_s1</t>
  </si>
  <si>
    <t xml:space="preserve">Raio de Cobertura </t>
  </si>
  <si>
    <t>Demanda Mínima</t>
  </si>
  <si>
    <t>GRID_PSCLP_n100_m5000_d1_100_f10_100_s1</t>
  </si>
  <si>
    <t>GRID_PSCLP_n100_m10000_d1_100_f10_100_s1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</si>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</sst>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43" fontId="0" fillId="0" borderId="1" xfId="1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B2" sqref="B2:F7"/>
    </sheetView>
  </sheetViews>
  <sheetFormatPr defaultRowHeight="15" x14ac:dyDescent="0.25"/>
  <cols>
    <col min="1" max="1" width="42.28515625" bestFit="1" customWidth="1"/>
    <col min="2" max="2" width="10.42578125" bestFit="1" customWidth="1"/>
    <col min="3" max="3" width="9.5703125" bestFit="1" customWidth="1"/>
    <col min="4" max="4" width="10.42578125" bestFit="1" customWidth="1"/>
    <col min="5" max="5" width="8.85546875" bestFit="1" customWidth="1"/>
    <col min="6" max="6" width="9.5703125" bestFit="1" customWidth="1"/>
    <col min="7" max="7" width="17" bestFit="1" customWidth="1"/>
    <col min="8" max="8" width="16.85546875" bestFit="1" customWidth="1"/>
  </cols>
  <sheetData>
    <row r="1" spans="1: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7</v>
      </c>
      <c r="H1" s="7" t="s">
        <v>8</v>
      </c>
    </row>
    <row r="2" spans="1:8" x14ac:dyDescent="0.25">
      <c r="A2" s="2" t="s">
        <v>6</v>
      </c>
      <c r="B2" s="3">
        <v>560</v>
      </c>
      <c r="C2" s="3">
        <v>565.33000000000004</v>
      </c>
      <c r="D2" s="3">
        <v>0.95</v>
      </c>
      <c r="E2" s="3">
        <v>25.19</v>
      </c>
      <c r="F2" s="3">
        <v>12.48</v>
      </c>
      <c r="G2" s="3">
        <v>3.25</v>
      </c>
      <c r="H2" s="4">
        <v>0.7</v>
      </c>
    </row>
    <row r="3" spans="1:8" x14ac:dyDescent="0.25">
      <c r="A3" s="2" t="s">
        <v>6</v>
      </c>
      <c r="B3" s="3">
        <v>463</v>
      </c>
      <c r="C3" s="3">
        <v>470.33</v>
      </c>
      <c r="D3" s="3">
        <v>1.58</v>
      </c>
      <c r="E3" s="3">
        <v>27.03</v>
      </c>
      <c r="F3" s="3">
        <v>12.72</v>
      </c>
      <c r="G3" s="3">
        <v>3.5</v>
      </c>
      <c r="H3" s="4">
        <v>0.7</v>
      </c>
    </row>
    <row r="4" spans="1:8" x14ac:dyDescent="0.25">
      <c r="A4" s="2" t="s">
        <v>6</v>
      </c>
      <c r="B4" s="3">
        <v>370</v>
      </c>
      <c r="C4" s="3">
        <v>371.67</v>
      </c>
      <c r="D4" s="3">
        <v>0.45</v>
      </c>
      <c r="E4" s="3">
        <v>29.61</v>
      </c>
      <c r="F4" s="3">
        <v>14.35</v>
      </c>
      <c r="G4" s="3">
        <v>3.75</v>
      </c>
      <c r="H4" s="4">
        <v>0.7</v>
      </c>
    </row>
    <row r="5" spans="1:8" x14ac:dyDescent="0.25">
      <c r="A5" s="2" t="s">
        <v>6</v>
      </c>
      <c r="B5" s="3">
        <v>319</v>
      </c>
      <c r="C5" s="3">
        <v>320</v>
      </c>
      <c r="D5" s="3">
        <v>0.31</v>
      </c>
      <c r="E5" s="3">
        <v>33.08</v>
      </c>
      <c r="F5" s="3">
        <v>14.93</v>
      </c>
      <c r="G5" s="3">
        <v>4</v>
      </c>
      <c r="H5" s="4">
        <v>0.7</v>
      </c>
    </row>
    <row r="6" spans="1:8" x14ac:dyDescent="0.25">
      <c r="A6" s="10" t="s">
        <v>6</v>
      </c>
      <c r="B6" s="3">
        <v>274</v>
      </c>
      <c r="C6" s="3">
        <v>275</v>
      </c>
      <c r="D6" s="3">
        <v>0.36</v>
      </c>
      <c r="E6" s="3">
        <v>35.200000000000003</v>
      </c>
      <c r="F6" s="3">
        <v>16.52</v>
      </c>
      <c r="G6" s="5">
        <v>4.25</v>
      </c>
      <c r="H6" s="6">
        <v>0.7</v>
      </c>
    </row>
    <row r="7" spans="1:8" x14ac:dyDescent="0.25">
      <c r="A7" s="12" t="s">
        <v>11</v>
      </c>
      <c r="B7" s="13">
        <f>AVERAGE(B2:B6)</f>
        <v>397.2</v>
      </c>
      <c r="C7" s="13">
        <f>AVERAGE(C2:C6)</f>
        <v>400.46600000000001</v>
      </c>
      <c r="D7" s="13">
        <f>AVERAGE(D2:D6)</f>
        <v>0.73000000000000009</v>
      </c>
      <c r="E7" s="13">
        <f>AVERAGE(E2:E6)</f>
        <v>30.022000000000002</v>
      </c>
      <c r="F7" s="13">
        <f>AVERAGE(F2:F6)</f>
        <v>14.2</v>
      </c>
      <c r="G7" s="8"/>
      <c r="H7" s="9"/>
    </row>
    <row r="8" spans="1:8" x14ac:dyDescent="0.25">
      <c r="G8" s="8"/>
      <c r="H8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4232-8E9B-4CA9-A839-3760380825AC}">
  <dimension ref="A1:H8"/>
  <sheetViews>
    <sheetView workbookViewId="0">
      <selection activeCell="B2" sqref="B2:F7"/>
    </sheetView>
  </sheetViews>
  <sheetFormatPr defaultRowHeight="15" x14ac:dyDescent="0.25"/>
  <cols>
    <col min="1" max="1" width="42.28515625" bestFit="1" customWidth="1"/>
    <col min="2" max="2" width="10.42578125" bestFit="1" customWidth="1"/>
    <col min="3" max="3" width="9.5703125" bestFit="1" customWidth="1"/>
    <col min="4" max="4" width="10.42578125" bestFit="1" customWidth="1"/>
    <col min="5" max="5" width="8.85546875" bestFit="1" customWidth="1"/>
    <col min="6" max="6" width="9.5703125" bestFit="1" customWidth="1"/>
    <col min="7" max="7" width="17" bestFit="1" customWidth="1"/>
    <col min="8" max="8" width="16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7</v>
      </c>
      <c r="H1" s="7" t="s">
        <v>8</v>
      </c>
    </row>
    <row r="2" spans="1:8" x14ac:dyDescent="0.25">
      <c r="A2" s="11" t="s">
        <v>9</v>
      </c>
      <c r="B2" s="3">
        <v>678</v>
      </c>
      <c r="C2" s="3">
        <v>681.67</v>
      </c>
      <c r="D2" s="3">
        <v>0.54</v>
      </c>
      <c r="E2" s="3">
        <v>91.14</v>
      </c>
      <c r="F2" s="3">
        <v>42.86</v>
      </c>
      <c r="G2" s="3">
        <v>3.25</v>
      </c>
      <c r="H2" s="4">
        <v>0.7</v>
      </c>
    </row>
    <row r="3" spans="1:8" x14ac:dyDescent="0.25">
      <c r="A3" s="11" t="s">
        <v>9</v>
      </c>
      <c r="B3" s="3">
        <v>522</v>
      </c>
      <c r="C3" s="3">
        <v>525</v>
      </c>
      <c r="D3" s="3">
        <v>0.56999999999999995</v>
      </c>
      <c r="E3" s="3">
        <v>98.45</v>
      </c>
      <c r="F3" s="3">
        <v>47.2</v>
      </c>
      <c r="G3" s="3">
        <v>3.5</v>
      </c>
      <c r="H3" s="4">
        <v>0.7</v>
      </c>
    </row>
    <row r="4" spans="1:8" x14ac:dyDescent="0.25">
      <c r="A4" s="11" t="s">
        <v>9</v>
      </c>
      <c r="B4" s="3">
        <v>417</v>
      </c>
      <c r="C4" s="3">
        <v>421.67</v>
      </c>
      <c r="D4" s="3">
        <v>1.1200000000000001</v>
      </c>
      <c r="E4" s="3">
        <v>115.21</v>
      </c>
      <c r="F4" s="3">
        <v>55.54</v>
      </c>
      <c r="G4" s="3">
        <v>3.75</v>
      </c>
      <c r="H4" s="4">
        <v>0.7</v>
      </c>
    </row>
    <row r="5" spans="1:8" x14ac:dyDescent="0.25">
      <c r="A5" s="11" t="s">
        <v>9</v>
      </c>
      <c r="B5" s="3">
        <v>330</v>
      </c>
      <c r="C5" s="3">
        <v>333.67</v>
      </c>
      <c r="D5" s="3">
        <v>1.1100000000000001</v>
      </c>
      <c r="E5" s="3">
        <v>127.39</v>
      </c>
      <c r="F5" s="3">
        <v>64.02</v>
      </c>
      <c r="G5" s="3">
        <v>4</v>
      </c>
      <c r="H5" s="4">
        <v>0.7</v>
      </c>
    </row>
    <row r="6" spans="1:8" x14ac:dyDescent="0.25">
      <c r="A6" s="11" t="s">
        <v>9</v>
      </c>
      <c r="B6" s="3">
        <v>277</v>
      </c>
      <c r="C6" s="3">
        <v>280.33</v>
      </c>
      <c r="D6" s="3">
        <v>1.2</v>
      </c>
      <c r="E6" s="3">
        <v>140.06</v>
      </c>
      <c r="F6" s="3">
        <v>68.44</v>
      </c>
      <c r="G6" s="5">
        <v>4.25</v>
      </c>
      <c r="H6" s="6">
        <v>0.7</v>
      </c>
    </row>
    <row r="7" spans="1:8" x14ac:dyDescent="0.25">
      <c r="A7" s="12" t="s">
        <v>11</v>
      </c>
      <c r="B7" s="13">
        <f>AVERAGE(B2:B6)</f>
        <v>444.8</v>
      </c>
      <c r="C7" s="13">
        <f>AVERAGE(C2:C6)</f>
        <v>448.46800000000002</v>
      </c>
      <c r="D7" s="13">
        <f>AVERAGE(D2:D6)</f>
        <v>0.90800000000000003</v>
      </c>
      <c r="E7" s="13">
        <f>AVERAGE(E2:E6)</f>
        <v>114.45</v>
      </c>
      <c r="F7" s="13">
        <f>AVERAGE(F2:F6)</f>
        <v>55.612000000000002</v>
      </c>
      <c r="G7" s="8"/>
      <c r="H7" s="9"/>
    </row>
    <row r="8" spans="1:8" x14ac:dyDescent="0.25">
      <c r="G8" s="8"/>
      <c r="H8" s="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BFDD-23C9-4C37-ACC4-31197592FD05}">
  <dimension ref="A1:H8"/>
  <sheetViews>
    <sheetView tabSelected="1" workbookViewId="0">
      <selection activeCell="D11" sqref="D11"/>
    </sheetView>
  </sheetViews>
  <sheetFormatPr defaultRowHeight="15" x14ac:dyDescent="0.25"/>
  <cols>
    <col min="1" max="1" width="43.28515625" bestFit="1" customWidth="1"/>
    <col min="2" max="2" width="10.42578125" bestFit="1" customWidth="1"/>
    <col min="3" max="3" width="9.5703125" bestFit="1" customWidth="1"/>
    <col min="4" max="4" width="10.42578125" bestFit="1" customWidth="1"/>
    <col min="5" max="5" width="8.85546875" bestFit="1" customWidth="1"/>
    <col min="6" max="6" width="9.5703125" bestFit="1" customWidth="1"/>
    <col min="7" max="7" width="17" bestFit="1" customWidth="1"/>
    <col min="8" max="8" width="16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7</v>
      </c>
      <c r="H1" s="7" t="s">
        <v>8</v>
      </c>
    </row>
    <row r="2" spans="1:8" x14ac:dyDescent="0.25">
      <c r="A2" s="11" t="s">
        <v>10</v>
      </c>
      <c r="B2" s="3">
        <v>523</v>
      </c>
      <c r="C2" s="3">
        <v>524</v>
      </c>
      <c r="D2" s="3">
        <v>0.19</v>
      </c>
      <c r="E2" s="3">
        <v>210.02</v>
      </c>
      <c r="F2" s="3">
        <v>94.92</v>
      </c>
      <c r="G2" s="3">
        <v>3.25</v>
      </c>
      <c r="H2" s="4">
        <v>0.7</v>
      </c>
    </row>
    <row r="3" spans="1:8" x14ac:dyDescent="0.25">
      <c r="A3" s="11" t="s">
        <v>10</v>
      </c>
      <c r="B3" s="3">
        <v>408</v>
      </c>
      <c r="C3" s="3">
        <v>412.67</v>
      </c>
      <c r="D3" s="3">
        <v>1.1399999999999999</v>
      </c>
      <c r="E3" s="3">
        <v>234.65</v>
      </c>
      <c r="F3" s="3">
        <v>109.03</v>
      </c>
      <c r="G3" s="3">
        <v>3.5</v>
      </c>
      <c r="H3" s="4">
        <v>0.7</v>
      </c>
    </row>
    <row r="4" spans="1:8" x14ac:dyDescent="0.25">
      <c r="A4" s="11" t="s">
        <v>10</v>
      </c>
      <c r="B4" s="3">
        <v>324</v>
      </c>
      <c r="C4" s="3">
        <v>324.67</v>
      </c>
      <c r="D4" s="3">
        <v>0.21</v>
      </c>
      <c r="E4" s="3">
        <v>262.26</v>
      </c>
      <c r="F4" s="3">
        <v>125.24</v>
      </c>
      <c r="G4" s="3">
        <v>3.75</v>
      </c>
      <c r="H4" s="4">
        <v>0.7</v>
      </c>
    </row>
    <row r="5" spans="1:8" x14ac:dyDescent="0.25">
      <c r="A5" s="11" t="s">
        <v>10</v>
      </c>
      <c r="B5" s="3">
        <v>275</v>
      </c>
      <c r="C5" s="3">
        <v>276.33</v>
      </c>
      <c r="D5" s="3">
        <v>0.48</v>
      </c>
      <c r="E5" s="3">
        <v>281.12</v>
      </c>
      <c r="F5" s="3">
        <v>129.55000000000001</v>
      </c>
      <c r="G5" s="3">
        <v>4</v>
      </c>
      <c r="H5" s="4">
        <v>0.7</v>
      </c>
    </row>
    <row r="6" spans="1:8" x14ac:dyDescent="0.25">
      <c r="A6" s="11" t="s">
        <v>10</v>
      </c>
      <c r="B6" s="3">
        <v>238</v>
      </c>
      <c r="C6" s="3">
        <v>238</v>
      </c>
      <c r="D6" s="3">
        <v>0</v>
      </c>
      <c r="E6" s="3">
        <v>299.52</v>
      </c>
      <c r="F6" s="3">
        <v>148.57</v>
      </c>
      <c r="G6" s="5">
        <v>4.25</v>
      </c>
      <c r="H6" s="6">
        <v>0.7</v>
      </c>
    </row>
    <row r="7" spans="1:8" x14ac:dyDescent="0.25">
      <c r="A7" s="12" t="s">
        <v>11</v>
      </c>
      <c r="B7" s="13">
        <f>AVERAGE(B2:B6)</f>
        <v>353.6</v>
      </c>
      <c r="C7" s="13">
        <f>AVERAGE(C2:C6)</f>
        <v>355.13400000000001</v>
      </c>
      <c r="D7" s="13">
        <f>AVERAGE(D2:D6)</f>
        <v>0.40399999999999991</v>
      </c>
      <c r="E7" s="13">
        <f>AVERAGE(E2:E6)</f>
        <v>257.51400000000001</v>
      </c>
      <c r="F7" s="13">
        <f>AVERAGE(F2:F6)</f>
        <v>121.46199999999999</v>
      </c>
      <c r="G7" s="8"/>
      <c r="H7" s="9"/>
    </row>
    <row r="8" spans="1:8" x14ac:dyDescent="0.25">
      <c r="G8" s="8"/>
      <c r="H8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Pequenas</vt:lpstr>
      <vt:lpstr>Médias</vt:lpstr>
      <vt:lpstr>Grandes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Layon José</cp:lastModifiedBy>
  <dcterms:created xsi:type="dcterms:W3CDTF">2026-02-09T12:11:52Z</dcterms:created>
  <dcterms:modified xsi:type="dcterms:W3CDTF">2026-02-09T12:47:10Z</dcterms:modified>
</cp:coreProperties>
</file>