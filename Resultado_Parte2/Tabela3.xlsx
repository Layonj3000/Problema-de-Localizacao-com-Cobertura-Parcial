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on\Downloads\Problema-de-Localizacao-com-Cobertura-Parcial\Resultado_Parte2\"/>
    </mc:Choice>
  </mc:AlternateContent>
  <xr:revisionPtr revIDLastSave="0" documentId="13_ncr:1_{6BEAE338-51AF-4E6B-AA1B-642198589E00}" xr6:coauthVersionLast="47" xr6:coauthVersionMax="47" xr10:uidLastSave="{00000000-0000-0000-0000-000000000000}"/>
  <bookViews>
    <workbookView xWindow="-120" yWindow="-120" windowWidth="20730" windowHeight="11760" activeTab="2" xr2:uid="{792840E6-1BCE-4F5B-B3B2-7B844065BC26}"/>
  </bookViews>
  <sheets>
    <sheet name="Pequenas" sheetId="1" r:id="rId1"/>
    <sheet name="Médias" sheetId="2" r:id="rId2"/>
    <sheet name="Grand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3" l="1"/>
  <c r="J9" i="3"/>
  <c r="I9" i="3"/>
  <c r="H9" i="3"/>
  <c r="G9" i="3"/>
  <c r="F9" i="3"/>
  <c r="E9" i="3"/>
  <c r="D9" i="3"/>
  <c r="C9" i="3"/>
  <c r="B9" i="3"/>
  <c r="K9" i="2"/>
  <c r="J9" i="2"/>
  <c r="I9" i="2"/>
  <c r="H9" i="2"/>
  <c r="G9" i="2"/>
  <c r="F9" i="2"/>
  <c r="E9" i="2"/>
  <c r="D9" i="2"/>
  <c r="C9" i="2"/>
  <c r="B9" i="2"/>
  <c r="J9" i="1"/>
  <c r="K9" i="1"/>
  <c r="I9" i="1"/>
  <c r="E9" i="1"/>
  <c r="H9" i="1"/>
  <c r="G9" i="1"/>
  <c r="F9" i="1"/>
  <c r="D9" i="1"/>
  <c r="C9" i="1"/>
  <c r="B9" i="1"/>
</calcChain>
</file>

<file path=xl/sharedStrings.xml><?xml version="1.0" encoding="utf-8"?>
<sst xmlns="http://schemas.openxmlformats.org/spreadsheetml/2006/main" count="66" uniqueCount="17">
  <si>
    <t>CPLEX</t>
  </si>
  <si>
    <t>GUROBI</t>
  </si>
  <si>
    <t>GRID_PSCLP_n100_m1000_d1_100_f10_100_s1</t>
  </si>
  <si>
    <t>MÉDIA</t>
  </si>
  <si>
    <t xml:space="preserve">Raio de Cobertura </t>
  </si>
  <si>
    <t>Demanda Mínima</t>
  </si>
  <si>
    <t>GRID_PSCLP_n100_m5000_d1_100_f10_100_s1</t>
  </si>
  <si>
    <t>INSTÂNCIAS MÉDIAS</t>
  </si>
  <si>
    <t>INSTÂNCIAS PEQUENAS</t>
  </si>
  <si>
    <t>INSTÂNCIAS GRANDES</t>
  </si>
  <si>
    <t>GRID_PSCLP_n100_m10000_d1_100_f10_100_s1</t>
  </si>
  <si>
    <t>META-HEURÍSTICA</t>
  </si>
  <si>
    <t>FO</t>
  </si>
  <si>
    <t>GAP</t>
  </si>
  <si>
    <t>TEMPO</t>
  </si>
  <si>
    <t>Dif C</t>
  </si>
  <si>
    <t>Dif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</si>
</sst>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3" fontId="0" fillId="0" borderId="1" xfId="2" applyFont="1" applyBorder="1" applyAlignment="1">
      <alignment horizontal="center"/>
    </xf>
    <xf numFmtId="43" fontId="0" fillId="0" borderId="1" xfId="2" applyFont="1" applyBorder="1" applyAlignment="1"/>
    <xf numFmtId="0" fontId="0" fillId="0" borderId="7" xfId="0" applyBorder="1" applyAlignment="1">
      <alignment horizontal="center"/>
    </xf>
    <xf numFmtId="43" fontId="0" fillId="0" borderId="1" xfId="0" applyNumberForma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8D93-1F9B-4C8C-9D51-AE44BB88A1EE}">
  <dimension ref="A1:O24"/>
  <sheetViews>
    <sheetView workbookViewId="0">
      <selection activeCell="J21" sqref="J21"/>
    </sheetView>
  </sheetViews>
  <sheetFormatPr defaultRowHeight="15" x14ac:dyDescent="0.25"/>
  <cols>
    <col min="1" max="1" width="42.28515625" bestFit="1" customWidth="1"/>
    <col min="2" max="2" width="8" bestFit="1" customWidth="1"/>
    <col min="3" max="3" width="5.140625" bestFit="1" customWidth="1"/>
    <col min="4" max="4" width="7.42578125" bestFit="1" customWidth="1"/>
    <col min="5" max="5" width="8" bestFit="1" customWidth="1"/>
    <col min="6" max="6" width="5.140625" bestFit="1" customWidth="1"/>
    <col min="7" max="7" width="7.42578125" bestFit="1" customWidth="1"/>
    <col min="8" max="8" width="8" bestFit="1" customWidth="1"/>
    <col min="9" max="9" width="7.42578125" bestFit="1" customWidth="1"/>
    <col min="10" max="11" width="6" bestFit="1" customWidth="1"/>
    <col min="12" max="12" width="17" bestFit="1" customWidth="1"/>
    <col min="13" max="13" width="16.85546875" bestFit="1" customWidth="1"/>
  </cols>
  <sheetData>
    <row r="1" spans="1:13" ht="15" customHeight="1" x14ac:dyDescent="0.25">
      <c r="A1" s="23" t="s">
        <v>8</v>
      </c>
      <c r="B1" s="23" t="s">
        <v>0</v>
      </c>
      <c r="C1" s="23"/>
      <c r="D1" s="23"/>
      <c r="E1" s="23" t="s">
        <v>1</v>
      </c>
      <c r="F1" s="23"/>
      <c r="G1" s="23"/>
      <c r="H1" s="23" t="s">
        <v>11</v>
      </c>
      <c r="I1" s="23"/>
      <c r="J1" s="23"/>
      <c r="K1" s="23"/>
      <c r="L1" s="20" t="s">
        <v>4</v>
      </c>
      <c r="M1" s="20" t="s">
        <v>5</v>
      </c>
    </row>
    <row r="2" spans="1:13" x14ac:dyDescent="0.25">
      <c r="A2" s="23"/>
      <c r="B2" s="25" t="s">
        <v>12</v>
      </c>
      <c r="C2" s="25" t="s">
        <v>13</v>
      </c>
      <c r="D2" s="25" t="s">
        <v>14</v>
      </c>
      <c r="E2" s="25" t="s">
        <v>12</v>
      </c>
      <c r="F2" s="25" t="s">
        <v>13</v>
      </c>
      <c r="G2" s="25" t="s">
        <v>14</v>
      </c>
      <c r="H2" s="25" t="s">
        <v>12</v>
      </c>
      <c r="I2" s="25" t="s">
        <v>14</v>
      </c>
      <c r="J2" s="20" t="s">
        <v>15</v>
      </c>
      <c r="K2" s="20" t="s">
        <v>16</v>
      </c>
      <c r="L2" s="21"/>
      <c r="M2" s="21"/>
    </row>
    <row r="3" spans="1:13" x14ac:dyDescent="0.25">
      <c r="A3" s="23"/>
      <c r="B3" s="26"/>
      <c r="C3" s="26"/>
      <c r="D3" s="26"/>
      <c r="E3" s="26"/>
      <c r="F3" s="26"/>
      <c r="G3" s="26"/>
      <c r="H3" s="26"/>
      <c r="I3" s="26"/>
      <c r="J3" s="22"/>
      <c r="K3" s="22"/>
      <c r="L3" s="22"/>
      <c r="M3" s="22"/>
    </row>
    <row r="4" spans="1:13" x14ac:dyDescent="0.25">
      <c r="A4" s="2" t="s">
        <v>2</v>
      </c>
      <c r="B4" s="16">
        <v>550</v>
      </c>
      <c r="C4" s="16">
        <v>0</v>
      </c>
      <c r="D4" s="16">
        <v>7.9744338989999997E-2</v>
      </c>
      <c r="E4" s="16">
        <v>550</v>
      </c>
      <c r="F4" s="16">
        <v>0</v>
      </c>
      <c r="G4" s="16">
        <v>7.4018001560000005E-2</v>
      </c>
      <c r="H4" s="16">
        <v>560</v>
      </c>
      <c r="I4" s="16">
        <v>12.48</v>
      </c>
      <c r="J4" s="16">
        <v>-1.818181818</v>
      </c>
      <c r="K4" s="29">
        <v>-1.818181818</v>
      </c>
      <c r="L4" s="13">
        <v>3.25</v>
      </c>
      <c r="M4" s="1">
        <v>0.7</v>
      </c>
    </row>
    <row r="5" spans="1:13" x14ac:dyDescent="0.25">
      <c r="A5" s="2" t="s">
        <v>2</v>
      </c>
      <c r="B5" s="16">
        <v>459</v>
      </c>
      <c r="C5" s="16">
        <v>0</v>
      </c>
      <c r="D5" s="16">
        <v>0.2010588646</v>
      </c>
      <c r="E5" s="16">
        <v>459</v>
      </c>
      <c r="F5" s="16">
        <v>0</v>
      </c>
      <c r="G5" s="16">
        <v>7.5101613999999997E-2</v>
      </c>
      <c r="H5" s="16">
        <v>463</v>
      </c>
      <c r="I5" s="16">
        <v>12.72</v>
      </c>
      <c r="J5" s="16">
        <v>-0.87145969499999998</v>
      </c>
      <c r="K5" s="29">
        <v>-0.87145969499999998</v>
      </c>
      <c r="L5" s="13">
        <v>3.5</v>
      </c>
      <c r="M5" s="1">
        <v>0.7</v>
      </c>
    </row>
    <row r="6" spans="1:13" x14ac:dyDescent="0.25">
      <c r="A6" s="2" t="s">
        <v>2</v>
      </c>
      <c r="B6" s="16">
        <v>370</v>
      </c>
      <c r="C6" s="16">
        <v>0</v>
      </c>
      <c r="D6" s="16">
        <v>0.13555574419999999</v>
      </c>
      <c r="E6" s="16">
        <v>370</v>
      </c>
      <c r="F6" s="16">
        <v>0</v>
      </c>
      <c r="G6" s="16">
        <v>0.1578612328</v>
      </c>
      <c r="H6" s="16">
        <v>370</v>
      </c>
      <c r="I6" s="16">
        <v>14.35</v>
      </c>
      <c r="J6" s="16">
        <v>0</v>
      </c>
      <c r="K6" s="29">
        <v>0</v>
      </c>
      <c r="L6" s="13">
        <v>3.75</v>
      </c>
      <c r="M6" s="1">
        <v>0.7</v>
      </c>
    </row>
    <row r="7" spans="1:13" x14ac:dyDescent="0.25">
      <c r="A7" s="2" t="s">
        <v>2</v>
      </c>
      <c r="B7" s="16">
        <v>319</v>
      </c>
      <c r="C7" s="16">
        <v>0</v>
      </c>
      <c r="D7" s="16">
        <v>0.50643515589999999</v>
      </c>
      <c r="E7" s="16">
        <v>319</v>
      </c>
      <c r="F7" s="16">
        <v>0</v>
      </c>
      <c r="G7" s="16">
        <v>0.6277315617</v>
      </c>
      <c r="H7" s="16">
        <v>319</v>
      </c>
      <c r="I7" s="16">
        <v>14.93</v>
      </c>
      <c r="J7" s="16">
        <v>0</v>
      </c>
      <c r="K7" s="29">
        <v>0</v>
      </c>
      <c r="L7" s="13">
        <v>4</v>
      </c>
      <c r="M7" s="1">
        <v>0.7</v>
      </c>
    </row>
    <row r="8" spans="1:13" x14ac:dyDescent="0.25">
      <c r="A8" s="2" t="s">
        <v>2</v>
      </c>
      <c r="B8" s="16">
        <v>269</v>
      </c>
      <c r="C8" s="16">
        <v>0</v>
      </c>
      <c r="D8" s="16">
        <v>0.54127573969999998</v>
      </c>
      <c r="E8" s="16">
        <v>269</v>
      </c>
      <c r="F8" s="16">
        <v>0</v>
      </c>
      <c r="G8" s="16">
        <v>0.97170352940000004</v>
      </c>
      <c r="H8" s="16">
        <v>274</v>
      </c>
      <c r="I8" s="16">
        <v>16.52</v>
      </c>
      <c r="J8" s="16">
        <v>-1.8587360589999999</v>
      </c>
      <c r="K8" s="29">
        <v>-1.8587360589999999</v>
      </c>
      <c r="L8" s="18">
        <v>4.25</v>
      </c>
      <c r="M8" s="14">
        <v>0.7</v>
      </c>
    </row>
    <row r="9" spans="1:13" x14ac:dyDescent="0.25">
      <c r="A9" s="11" t="s">
        <v>3</v>
      </c>
      <c r="B9" s="17">
        <f t="shared" ref="B9:H9" si="0">AVERAGE(B1:B8)</f>
        <v>393.4</v>
      </c>
      <c r="C9" s="17">
        <f t="shared" si="0"/>
        <v>0</v>
      </c>
      <c r="D9" s="17">
        <f t="shared" si="0"/>
        <v>0.29281396867799997</v>
      </c>
      <c r="E9" s="17">
        <f t="shared" si="0"/>
        <v>393.4</v>
      </c>
      <c r="F9" s="17">
        <f t="shared" si="0"/>
        <v>0</v>
      </c>
      <c r="G9" s="17">
        <f t="shared" si="0"/>
        <v>0.381283187892</v>
      </c>
      <c r="H9" s="17">
        <f t="shared" si="0"/>
        <v>397.2</v>
      </c>
      <c r="I9" s="17">
        <f>AVERAGE(I1:I8)</f>
        <v>14.2</v>
      </c>
      <c r="J9" s="19">
        <f>AVERAGE(J4:J8)</f>
        <v>-0.90967551439999994</v>
      </c>
      <c r="K9" s="19">
        <f>AVERAGE(K4:K8)</f>
        <v>-0.90967551439999994</v>
      </c>
    </row>
    <row r="10" spans="1:13" x14ac:dyDescent="0.25">
      <c r="A10" s="6"/>
      <c r="B10" s="4"/>
      <c r="C10" s="4"/>
      <c r="D10" s="3"/>
      <c r="E10" s="5"/>
      <c r="F10" s="4"/>
      <c r="G10" s="4"/>
      <c r="H10" s="3"/>
      <c r="I10" s="5"/>
      <c r="J10" s="4"/>
      <c r="K10" s="7"/>
    </row>
    <row r="11" spans="1:13" x14ac:dyDescent="0.25">
      <c r="A11" s="6"/>
      <c r="B11" s="4"/>
      <c r="C11" s="4"/>
      <c r="D11" s="3"/>
      <c r="E11" s="5"/>
      <c r="F11" s="4"/>
      <c r="G11" s="4"/>
      <c r="H11" s="3"/>
      <c r="I11" s="5"/>
      <c r="J11" s="4"/>
      <c r="K11" s="7"/>
    </row>
    <row r="12" spans="1:13" x14ac:dyDescent="0.25">
      <c r="A12" s="8"/>
      <c r="B12" s="9"/>
      <c r="C12" s="9"/>
      <c r="D12" s="10"/>
      <c r="E12" s="9"/>
      <c r="F12" s="9"/>
      <c r="G12" s="9"/>
      <c r="H12" s="10"/>
      <c r="I12" s="9"/>
      <c r="J12" s="24"/>
      <c r="K12" s="24"/>
    </row>
    <row r="17" spans="14:15" x14ac:dyDescent="0.25">
      <c r="N17" s="15"/>
      <c r="O17" s="15"/>
    </row>
    <row r="18" spans="14:15" x14ac:dyDescent="0.25">
      <c r="N18" s="15"/>
      <c r="O18" s="15"/>
    </row>
    <row r="19" spans="14:15" x14ac:dyDescent="0.25">
      <c r="N19" s="15"/>
      <c r="O19" s="15"/>
    </row>
    <row r="20" spans="14:15" x14ac:dyDescent="0.25">
      <c r="N20" s="6"/>
      <c r="O20" s="7"/>
    </row>
    <row r="21" spans="14:15" x14ac:dyDescent="0.25">
      <c r="N21" s="6"/>
      <c r="O21" s="7"/>
    </row>
    <row r="22" spans="14:15" x14ac:dyDescent="0.25">
      <c r="N22" s="6"/>
      <c r="O22" s="7"/>
    </row>
    <row r="23" spans="14:15" x14ac:dyDescent="0.25">
      <c r="N23" s="6"/>
      <c r="O23" s="7"/>
    </row>
    <row r="24" spans="14:15" x14ac:dyDescent="0.25">
      <c r="N24" s="6"/>
      <c r="O24" s="7"/>
    </row>
  </sheetData>
  <mergeCells count="17">
    <mergeCell ref="J12:K12"/>
    <mergeCell ref="A1:A3"/>
    <mergeCell ref="B2:B3"/>
    <mergeCell ref="C2:C3"/>
    <mergeCell ref="D2:D3"/>
    <mergeCell ref="E2:E3"/>
    <mergeCell ref="H2:H3"/>
    <mergeCell ref="I2:I3"/>
    <mergeCell ref="F2:F3"/>
    <mergeCell ref="G2:G3"/>
    <mergeCell ref="L1:L3"/>
    <mergeCell ref="M1:M3"/>
    <mergeCell ref="B1:D1"/>
    <mergeCell ref="E1:G1"/>
    <mergeCell ref="H1:K1"/>
    <mergeCell ref="J2:J3"/>
    <mergeCell ref="K2:K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20DF-9FB9-456C-B214-F49C528CD7DA}">
  <dimension ref="A1:M12"/>
  <sheetViews>
    <sheetView workbookViewId="0">
      <selection activeCell="C19" sqref="C19"/>
    </sheetView>
  </sheetViews>
  <sheetFormatPr defaultRowHeight="15" x14ac:dyDescent="0.25"/>
  <cols>
    <col min="1" max="1" width="42.28515625" bestFit="1" customWidth="1"/>
    <col min="2" max="2" width="8" bestFit="1" customWidth="1"/>
    <col min="3" max="3" width="5.140625" bestFit="1" customWidth="1"/>
    <col min="4" max="4" width="7.42578125" bestFit="1" customWidth="1"/>
    <col min="5" max="5" width="8" bestFit="1" customWidth="1"/>
    <col min="6" max="6" width="5.140625" bestFit="1" customWidth="1"/>
    <col min="7" max="7" width="7.42578125" bestFit="1" customWidth="1"/>
    <col min="8" max="8" width="8" bestFit="1" customWidth="1"/>
    <col min="9" max="9" width="7.42578125" bestFit="1" customWidth="1"/>
    <col min="10" max="11" width="6" bestFit="1" customWidth="1"/>
    <col min="12" max="12" width="17" bestFit="1" customWidth="1"/>
    <col min="13" max="13" width="16.85546875" bestFit="1" customWidth="1"/>
  </cols>
  <sheetData>
    <row r="1" spans="1:13" ht="15" customHeight="1" x14ac:dyDescent="0.25">
      <c r="A1" s="25" t="s">
        <v>7</v>
      </c>
      <c r="B1" s="23" t="s">
        <v>0</v>
      </c>
      <c r="C1" s="23"/>
      <c r="D1" s="23"/>
      <c r="E1" s="23" t="s">
        <v>1</v>
      </c>
      <c r="F1" s="23"/>
      <c r="G1" s="23"/>
      <c r="H1" s="23" t="s">
        <v>11</v>
      </c>
      <c r="I1" s="23"/>
      <c r="J1" s="23"/>
      <c r="K1" s="23"/>
      <c r="L1" s="20" t="s">
        <v>4</v>
      </c>
      <c r="M1" s="20" t="s">
        <v>5</v>
      </c>
    </row>
    <row r="2" spans="1:13" x14ac:dyDescent="0.25">
      <c r="A2" s="28"/>
      <c r="B2" s="25" t="s">
        <v>12</v>
      </c>
      <c r="C2" s="25" t="s">
        <v>13</v>
      </c>
      <c r="D2" s="25" t="s">
        <v>14</v>
      </c>
      <c r="E2" s="25" t="s">
        <v>12</v>
      </c>
      <c r="F2" s="25" t="s">
        <v>13</v>
      </c>
      <c r="G2" s="25" t="s">
        <v>14</v>
      </c>
      <c r="H2" s="25" t="s">
        <v>12</v>
      </c>
      <c r="I2" s="25" t="s">
        <v>14</v>
      </c>
      <c r="J2" s="20" t="s">
        <v>15</v>
      </c>
      <c r="K2" s="20" t="s">
        <v>16</v>
      </c>
      <c r="L2" s="21"/>
      <c r="M2" s="21"/>
    </row>
    <row r="3" spans="1:13" x14ac:dyDescent="0.25">
      <c r="A3" s="26"/>
      <c r="B3" s="26"/>
      <c r="C3" s="26"/>
      <c r="D3" s="26"/>
      <c r="E3" s="26"/>
      <c r="F3" s="26"/>
      <c r="G3" s="26"/>
      <c r="H3" s="26"/>
      <c r="I3" s="26"/>
      <c r="J3" s="22"/>
      <c r="K3" s="22"/>
      <c r="L3" s="22"/>
      <c r="M3" s="22"/>
    </row>
    <row r="4" spans="1:13" x14ac:dyDescent="0.25">
      <c r="A4" s="6" t="s">
        <v>6</v>
      </c>
      <c r="B4" s="16">
        <v>669</v>
      </c>
      <c r="C4" s="16">
        <v>0</v>
      </c>
      <c r="D4" s="16">
        <v>2.9696900839999998</v>
      </c>
      <c r="E4" s="16">
        <v>669</v>
      </c>
      <c r="F4" s="16">
        <v>0</v>
      </c>
      <c r="G4" s="16">
        <v>3.2358407969999998</v>
      </c>
      <c r="H4" s="16">
        <v>678</v>
      </c>
      <c r="I4" s="16">
        <v>42.86</v>
      </c>
      <c r="J4" s="16">
        <v>-1.34529148</v>
      </c>
      <c r="K4" s="29">
        <v>-1.34529148</v>
      </c>
      <c r="L4" s="13">
        <v>3.25</v>
      </c>
      <c r="M4" s="1">
        <v>0.7</v>
      </c>
    </row>
    <row r="5" spans="1:13" x14ac:dyDescent="0.25">
      <c r="A5" s="6" t="s">
        <v>6</v>
      </c>
      <c r="B5" s="16">
        <v>519</v>
      </c>
      <c r="C5" s="16">
        <v>0</v>
      </c>
      <c r="D5" s="16">
        <v>5.2336163520000003</v>
      </c>
      <c r="E5" s="16">
        <v>519</v>
      </c>
      <c r="F5" s="16">
        <v>0</v>
      </c>
      <c r="G5" s="16">
        <v>4.8386924269999998</v>
      </c>
      <c r="H5" s="16">
        <v>522</v>
      </c>
      <c r="I5" s="16">
        <v>47.2</v>
      </c>
      <c r="J5" s="16">
        <v>-0.57803468209999997</v>
      </c>
      <c r="K5" s="29">
        <v>-0.57803468209999997</v>
      </c>
      <c r="L5" s="13">
        <v>3.5</v>
      </c>
      <c r="M5" s="1">
        <v>0.7</v>
      </c>
    </row>
    <row r="6" spans="1:13" x14ac:dyDescent="0.25">
      <c r="A6" s="6" t="s">
        <v>6</v>
      </c>
      <c r="B6" s="16">
        <v>417</v>
      </c>
      <c r="C6" s="16">
        <v>0</v>
      </c>
      <c r="D6" s="16">
        <v>2.2757115360000002</v>
      </c>
      <c r="E6" s="16">
        <v>417</v>
      </c>
      <c r="F6" s="16">
        <v>0</v>
      </c>
      <c r="G6" s="16">
        <v>1.841626883</v>
      </c>
      <c r="H6" s="16">
        <v>417</v>
      </c>
      <c r="I6" s="16">
        <v>55.54</v>
      </c>
      <c r="J6" s="16">
        <v>0</v>
      </c>
      <c r="K6" s="29">
        <v>0</v>
      </c>
      <c r="L6" s="13">
        <v>3.75</v>
      </c>
      <c r="M6" s="1">
        <v>0.7</v>
      </c>
    </row>
    <row r="7" spans="1:13" x14ac:dyDescent="0.25">
      <c r="A7" s="6" t="s">
        <v>6</v>
      </c>
      <c r="B7" s="16">
        <v>330</v>
      </c>
      <c r="C7" s="16">
        <v>0</v>
      </c>
      <c r="D7" s="16">
        <v>2.3959455489999999</v>
      </c>
      <c r="E7" s="16">
        <v>330</v>
      </c>
      <c r="F7" s="16">
        <v>0</v>
      </c>
      <c r="G7" s="16">
        <v>2.1524662970000001</v>
      </c>
      <c r="H7" s="16">
        <v>330</v>
      </c>
      <c r="I7" s="16">
        <v>64.02</v>
      </c>
      <c r="J7" s="16">
        <v>0</v>
      </c>
      <c r="K7" s="29">
        <v>0</v>
      </c>
      <c r="L7" s="13">
        <v>4</v>
      </c>
      <c r="M7" s="1">
        <v>0.7</v>
      </c>
    </row>
    <row r="8" spans="1:13" x14ac:dyDescent="0.25">
      <c r="A8" s="6" t="s">
        <v>6</v>
      </c>
      <c r="B8" s="16">
        <v>277</v>
      </c>
      <c r="C8" s="16">
        <v>0</v>
      </c>
      <c r="D8" s="16">
        <v>5.022383928</v>
      </c>
      <c r="E8" s="16">
        <v>277</v>
      </c>
      <c r="F8" s="16">
        <v>0</v>
      </c>
      <c r="G8" s="16">
        <v>4.6815161710000002</v>
      </c>
      <c r="H8" s="16">
        <v>277</v>
      </c>
      <c r="I8" s="16">
        <v>68.44</v>
      </c>
      <c r="J8" s="16">
        <v>0</v>
      </c>
      <c r="K8" s="29">
        <v>0</v>
      </c>
      <c r="L8" s="18">
        <v>4.25</v>
      </c>
      <c r="M8" s="14">
        <v>0.7</v>
      </c>
    </row>
    <row r="9" spans="1:13" x14ac:dyDescent="0.25">
      <c r="A9" s="11" t="s">
        <v>3</v>
      </c>
      <c r="B9" s="17">
        <f t="shared" ref="B9:H9" si="0">AVERAGE(B1:B8)</f>
        <v>442.4</v>
      </c>
      <c r="C9" s="17">
        <f t="shared" si="0"/>
        <v>0</v>
      </c>
      <c r="D9" s="17">
        <f t="shared" si="0"/>
        <v>3.5794694898000001</v>
      </c>
      <c r="E9" s="17">
        <f t="shared" si="0"/>
        <v>442.4</v>
      </c>
      <c r="F9" s="17">
        <f t="shared" si="0"/>
        <v>0</v>
      </c>
      <c r="G9" s="17">
        <f t="shared" si="0"/>
        <v>3.3500285149999995</v>
      </c>
      <c r="H9" s="17">
        <f t="shared" si="0"/>
        <v>444.8</v>
      </c>
      <c r="I9" s="17">
        <f>AVERAGE(I1:I8)</f>
        <v>55.612000000000002</v>
      </c>
      <c r="J9" s="19">
        <f>AVERAGE(J4:J8)</f>
        <v>-0.38466523242</v>
      </c>
      <c r="K9" s="19">
        <f>AVERAGE(K4:K8)</f>
        <v>-0.38466523242</v>
      </c>
    </row>
    <row r="10" spans="1:13" x14ac:dyDescent="0.25">
      <c r="A10" s="4"/>
      <c r="B10" s="4"/>
      <c r="C10" s="4"/>
      <c r="D10" s="3"/>
      <c r="E10" s="5"/>
      <c r="F10" s="4"/>
      <c r="G10" s="4"/>
      <c r="H10" s="3"/>
      <c r="I10" s="5"/>
      <c r="J10" s="4"/>
      <c r="K10" s="7"/>
    </row>
    <row r="11" spans="1:13" x14ac:dyDescent="0.25">
      <c r="A11" s="4"/>
      <c r="B11" s="4"/>
      <c r="C11" s="4"/>
      <c r="D11" s="3"/>
      <c r="E11" s="5"/>
      <c r="F11" s="4"/>
      <c r="G11" s="4"/>
      <c r="H11" s="3"/>
      <c r="I11" s="5"/>
      <c r="J11" s="4"/>
      <c r="K11" s="7"/>
    </row>
    <row r="12" spans="1:13" x14ac:dyDescent="0.25">
      <c r="A12" s="12"/>
      <c r="B12" s="5"/>
      <c r="C12" s="5"/>
      <c r="D12" s="3"/>
      <c r="E12" s="5"/>
      <c r="F12" s="5"/>
      <c r="G12" s="5"/>
      <c r="H12" s="3"/>
      <c r="I12" s="5"/>
      <c r="J12" s="27"/>
      <c r="K12" s="27"/>
    </row>
  </sheetData>
  <mergeCells count="17">
    <mergeCell ref="J12:K12"/>
    <mergeCell ref="I2:I3"/>
    <mergeCell ref="A1:A3"/>
    <mergeCell ref="B2:B3"/>
    <mergeCell ref="C2:C3"/>
    <mergeCell ref="D2:D3"/>
    <mergeCell ref="E2:E3"/>
    <mergeCell ref="F2:F3"/>
    <mergeCell ref="G2:G3"/>
    <mergeCell ref="H2:H3"/>
    <mergeCell ref="B1:D1"/>
    <mergeCell ref="E1:G1"/>
    <mergeCell ref="H1:K1"/>
    <mergeCell ref="L1:L3"/>
    <mergeCell ref="M1:M3"/>
    <mergeCell ref="J2:J3"/>
    <mergeCell ref="K2:K3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0DD7-5856-467E-B4B3-14B8E04C62A9}">
  <dimension ref="A1:M12"/>
  <sheetViews>
    <sheetView tabSelected="1" workbookViewId="0">
      <selection activeCell="A4" sqref="A4:A8"/>
    </sheetView>
  </sheetViews>
  <sheetFormatPr defaultRowHeight="15" x14ac:dyDescent="0.25"/>
  <cols>
    <col min="1" max="1" width="42.28515625" bestFit="1" customWidth="1"/>
    <col min="2" max="2" width="8" bestFit="1" customWidth="1"/>
    <col min="3" max="3" width="5.140625" bestFit="1" customWidth="1"/>
    <col min="4" max="4" width="7.42578125" bestFit="1" customWidth="1"/>
    <col min="5" max="5" width="8" bestFit="1" customWidth="1"/>
    <col min="6" max="6" width="5.140625" bestFit="1" customWidth="1"/>
    <col min="7" max="7" width="7.42578125" bestFit="1" customWidth="1"/>
    <col min="8" max="9" width="8" bestFit="1" customWidth="1"/>
    <col min="10" max="11" width="6" bestFit="1" customWidth="1"/>
    <col min="12" max="12" width="17" bestFit="1" customWidth="1"/>
    <col min="13" max="13" width="16.85546875" bestFit="1" customWidth="1"/>
  </cols>
  <sheetData>
    <row r="1" spans="1:13" ht="15" customHeight="1" x14ac:dyDescent="0.25">
      <c r="A1" s="25" t="s">
        <v>9</v>
      </c>
      <c r="B1" s="23" t="s">
        <v>0</v>
      </c>
      <c r="C1" s="23"/>
      <c r="D1" s="23"/>
      <c r="E1" s="23" t="s">
        <v>1</v>
      </c>
      <c r="F1" s="23"/>
      <c r="G1" s="23"/>
      <c r="H1" s="23" t="s">
        <v>11</v>
      </c>
      <c r="I1" s="23"/>
      <c r="J1" s="23"/>
      <c r="K1" s="23"/>
      <c r="L1" s="20" t="s">
        <v>4</v>
      </c>
      <c r="M1" s="20" t="s">
        <v>5</v>
      </c>
    </row>
    <row r="2" spans="1:13" x14ac:dyDescent="0.25">
      <c r="A2" s="28"/>
      <c r="B2" s="25" t="s">
        <v>12</v>
      </c>
      <c r="C2" s="25" t="s">
        <v>13</v>
      </c>
      <c r="D2" s="25" t="s">
        <v>14</v>
      </c>
      <c r="E2" s="25" t="s">
        <v>12</v>
      </c>
      <c r="F2" s="25" t="s">
        <v>13</v>
      </c>
      <c r="G2" s="25" t="s">
        <v>14</v>
      </c>
      <c r="H2" s="25" t="s">
        <v>12</v>
      </c>
      <c r="I2" s="25" t="s">
        <v>14</v>
      </c>
      <c r="J2" s="20" t="s">
        <v>15</v>
      </c>
      <c r="K2" s="20" t="s">
        <v>16</v>
      </c>
      <c r="L2" s="21"/>
      <c r="M2" s="21"/>
    </row>
    <row r="3" spans="1:13" x14ac:dyDescent="0.25">
      <c r="A3" s="26"/>
      <c r="B3" s="26"/>
      <c r="C3" s="26"/>
      <c r="D3" s="26"/>
      <c r="E3" s="26"/>
      <c r="F3" s="26"/>
      <c r="G3" s="26"/>
      <c r="H3" s="26"/>
      <c r="I3" s="26"/>
      <c r="J3" s="22"/>
      <c r="K3" s="22"/>
      <c r="L3" s="22"/>
      <c r="M3" s="22"/>
    </row>
    <row r="4" spans="1:13" x14ac:dyDescent="0.25">
      <c r="A4" s="6" t="s">
        <v>10</v>
      </c>
      <c r="B4" s="16">
        <v>517</v>
      </c>
      <c r="C4" s="16">
        <v>0</v>
      </c>
      <c r="D4" s="16">
        <v>5.9412991999999996</v>
      </c>
      <c r="E4" s="16">
        <v>517</v>
      </c>
      <c r="F4" s="16">
        <v>0</v>
      </c>
      <c r="G4" s="16">
        <v>6.5336987969999996</v>
      </c>
      <c r="H4" s="16">
        <v>523</v>
      </c>
      <c r="I4" s="16">
        <v>94.92</v>
      </c>
      <c r="J4" s="16">
        <v>-1.1605415859999999</v>
      </c>
      <c r="K4" s="29">
        <v>-1.1605415859999999</v>
      </c>
      <c r="L4" s="13">
        <v>3.25</v>
      </c>
      <c r="M4" s="1">
        <v>0.7</v>
      </c>
    </row>
    <row r="5" spans="1:13" x14ac:dyDescent="0.25">
      <c r="A5" s="6" t="s">
        <v>10</v>
      </c>
      <c r="B5" s="16">
        <v>408</v>
      </c>
      <c r="C5" s="16">
        <v>0</v>
      </c>
      <c r="D5" s="16">
        <v>3.9954552649999999</v>
      </c>
      <c r="E5" s="16">
        <v>408</v>
      </c>
      <c r="F5" s="16">
        <v>0</v>
      </c>
      <c r="G5" s="16">
        <v>3.251513004</v>
      </c>
      <c r="H5" s="16">
        <v>408</v>
      </c>
      <c r="I5" s="16">
        <v>109.03</v>
      </c>
      <c r="J5" s="16">
        <v>0</v>
      </c>
      <c r="K5" s="29">
        <v>0</v>
      </c>
      <c r="L5" s="13">
        <v>3.5</v>
      </c>
      <c r="M5" s="1">
        <v>0.7</v>
      </c>
    </row>
    <row r="6" spans="1:13" x14ac:dyDescent="0.25">
      <c r="A6" s="6" t="s">
        <v>10</v>
      </c>
      <c r="B6" s="16">
        <v>324</v>
      </c>
      <c r="C6" s="16">
        <v>0</v>
      </c>
      <c r="D6" s="16">
        <v>10.344333649999999</v>
      </c>
      <c r="E6" s="16">
        <v>324</v>
      </c>
      <c r="F6" s="16">
        <v>0</v>
      </c>
      <c r="G6" s="16">
        <v>6.4306261539999996</v>
      </c>
      <c r="H6" s="16">
        <v>324</v>
      </c>
      <c r="I6" s="16">
        <v>125.24</v>
      </c>
      <c r="J6" s="16">
        <v>0</v>
      </c>
      <c r="K6" s="29">
        <v>0</v>
      </c>
      <c r="L6" s="13">
        <v>3.75</v>
      </c>
      <c r="M6" s="1">
        <v>0.7</v>
      </c>
    </row>
    <row r="7" spans="1:13" x14ac:dyDescent="0.25">
      <c r="A7" s="6" t="s">
        <v>10</v>
      </c>
      <c r="B7" s="16">
        <v>275</v>
      </c>
      <c r="C7" s="16">
        <v>0</v>
      </c>
      <c r="D7" s="16">
        <v>25.089217189999999</v>
      </c>
      <c r="E7" s="16">
        <v>275</v>
      </c>
      <c r="F7" s="16">
        <v>0</v>
      </c>
      <c r="G7" s="16">
        <v>8.8278663159999997</v>
      </c>
      <c r="H7" s="16">
        <v>275</v>
      </c>
      <c r="I7" s="16">
        <v>129.55000000000001</v>
      </c>
      <c r="J7" s="16">
        <v>0</v>
      </c>
      <c r="K7" s="29">
        <v>0</v>
      </c>
      <c r="L7" s="13">
        <v>4</v>
      </c>
      <c r="M7" s="1">
        <v>0.7</v>
      </c>
    </row>
    <row r="8" spans="1:13" x14ac:dyDescent="0.25">
      <c r="A8" s="6" t="s">
        <v>10</v>
      </c>
      <c r="B8" s="16">
        <v>238</v>
      </c>
      <c r="C8" s="16">
        <v>0</v>
      </c>
      <c r="D8" s="16">
        <v>8.5364637370000001</v>
      </c>
      <c r="E8" s="16">
        <v>238</v>
      </c>
      <c r="F8" s="16">
        <v>0</v>
      </c>
      <c r="G8" s="16">
        <v>14.32716274</v>
      </c>
      <c r="H8" s="16">
        <v>238</v>
      </c>
      <c r="I8" s="16">
        <v>148.57</v>
      </c>
      <c r="J8" s="16">
        <v>0</v>
      </c>
      <c r="K8" s="29">
        <v>0</v>
      </c>
      <c r="L8" s="18">
        <v>4.25</v>
      </c>
      <c r="M8" s="14">
        <v>0.7</v>
      </c>
    </row>
    <row r="9" spans="1:13" x14ac:dyDescent="0.25">
      <c r="A9" s="11" t="s">
        <v>3</v>
      </c>
      <c r="B9" s="17">
        <f t="shared" ref="B9:H9" si="0">AVERAGE(B1:B8)</f>
        <v>352.4</v>
      </c>
      <c r="C9" s="17">
        <f t="shared" si="0"/>
        <v>0</v>
      </c>
      <c r="D9" s="17">
        <f t="shared" si="0"/>
        <v>10.7813538084</v>
      </c>
      <c r="E9" s="17">
        <f t="shared" si="0"/>
        <v>352.4</v>
      </c>
      <c r="F9" s="17">
        <f t="shared" si="0"/>
        <v>0</v>
      </c>
      <c r="G9" s="17">
        <f t="shared" si="0"/>
        <v>7.8741734021999985</v>
      </c>
      <c r="H9" s="17">
        <f t="shared" si="0"/>
        <v>353.6</v>
      </c>
      <c r="I9" s="17">
        <f>AVERAGE(I1:I8)</f>
        <v>121.46199999999999</v>
      </c>
      <c r="J9" s="19">
        <f>AVERAGE(J4:J8)</f>
        <v>-0.23210831719999997</v>
      </c>
      <c r="K9" s="19">
        <f>AVERAGE(K4:K8)</f>
        <v>-0.23210831719999997</v>
      </c>
    </row>
    <row r="10" spans="1:13" x14ac:dyDescent="0.25">
      <c r="A10" s="6"/>
      <c r="B10" s="4"/>
      <c r="C10" s="4"/>
      <c r="D10" s="3"/>
      <c r="E10" s="5"/>
      <c r="F10" s="4"/>
      <c r="G10" s="4"/>
      <c r="H10" s="3"/>
      <c r="I10" s="5"/>
      <c r="J10" s="4"/>
      <c r="K10" s="7"/>
    </row>
    <row r="11" spans="1:13" x14ac:dyDescent="0.25">
      <c r="A11" s="6"/>
      <c r="B11" s="4"/>
      <c r="C11" s="4"/>
      <c r="D11" s="3"/>
      <c r="E11" s="5"/>
      <c r="F11" s="4"/>
      <c r="G11" s="4"/>
      <c r="H11" s="3"/>
      <c r="I11" s="5"/>
      <c r="J11" s="4"/>
      <c r="K11" s="7"/>
    </row>
    <row r="12" spans="1:13" x14ac:dyDescent="0.25">
      <c r="A12" s="12"/>
      <c r="B12" s="5"/>
      <c r="C12" s="5"/>
      <c r="D12" s="3"/>
      <c r="E12" s="5"/>
      <c r="F12" s="5"/>
      <c r="G12" s="5"/>
      <c r="H12" s="3"/>
      <c r="I12" s="5"/>
      <c r="J12" s="27"/>
      <c r="K12" s="27"/>
    </row>
  </sheetData>
  <mergeCells count="17">
    <mergeCell ref="A1:A3"/>
    <mergeCell ref="J12:K12"/>
    <mergeCell ref="B2:B3"/>
    <mergeCell ref="C2:C3"/>
    <mergeCell ref="D2:D3"/>
    <mergeCell ref="E2:E3"/>
    <mergeCell ref="F2:F3"/>
    <mergeCell ref="G2:G3"/>
    <mergeCell ref="H2:H3"/>
    <mergeCell ref="I2:I3"/>
    <mergeCell ref="B1:D1"/>
    <mergeCell ref="E1:G1"/>
    <mergeCell ref="H1:K1"/>
    <mergeCell ref="L1:L3"/>
    <mergeCell ref="M1:M3"/>
    <mergeCell ref="J2:J3"/>
    <mergeCell ref="K2:K3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Pequenas</vt:lpstr>
      <vt:lpstr>Médias</vt:lpstr>
      <vt:lpstr>Grandes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Layon José</dc:creator>
  <cp:lastModifiedBy>Layon José</cp:lastModifiedBy>
  <cp:lastPrinted>2025-11-16T21:59:15Z</cp:lastPrinted>
  <dcterms:created xsi:type="dcterms:W3CDTF">2025-11-16T20:38:49Z</dcterms:created>
  <dcterms:modified xsi:type="dcterms:W3CDTF">2026-02-09T12:46:10Z</dcterms:modified>
</cp:coreProperties>
</file>