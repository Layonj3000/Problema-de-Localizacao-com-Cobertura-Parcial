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yon\Downloads\"/>
    </mc:Choice>
  </mc:AlternateContent>
  <xr:revisionPtr revIDLastSave="0" documentId="8_{FB506BE5-A157-49F2-A997-559C6764DB07}" xr6:coauthVersionLast="47" xr6:coauthVersionMax="47" xr10:uidLastSave="{00000000-0000-0000-0000-000000000000}"/>
  <bookViews>
    <workbookView xWindow="-120" yWindow="-120" windowWidth="20730" windowHeight="11760" xr2:uid="{792840E6-1BCE-4F5B-B3B2-7B844065BC26}"/>
  </bookViews>
  <sheets>
    <sheet name="Pequenas" sheetId="1" r:id="rId1"/>
    <sheet name="Médias" sheetId="2" r:id="rId2"/>
    <sheet name="Grand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3" l="1"/>
  <c r="H12" i="3"/>
  <c r="G12" i="3"/>
  <c r="F12" i="3"/>
  <c r="E12" i="3"/>
  <c r="D12" i="3"/>
  <c r="C12" i="3"/>
  <c r="B12" i="3"/>
  <c r="I12" i="2"/>
  <c r="H12" i="2"/>
  <c r="G12" i="2"/>
  <c r="F12" i="2"/>
  <c r="E12" i="2"/>
  <c r="D12" i="2"/>
  <c r="C12" i="2"/>
  <c r="B12" i="2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<sst xmlns="http://schemas.openxmlformats.org/spreadsheetml/2006/main" count="66" uniqueCount="18">
  <si>
    <t>CPLEX</t>
  </si>
  <si>
    <t>GUROBI</t>
  </si>
  <si>
    <t>LB</t>
  </si>
  <si>
    <t>UB</t>
  </si>
  <si>
    <t>TEMPO (SEG.)</t>
  </si>
  <si>
    <t>GAP (%)</t>
  </si>
  <si>
    <t>GRID_PSCLP_n100_m1000_d1_100_f10_100_s1</t>
  </si>
  <si>
    <t>GRID_PSCLP_n100_m1000_d1_100_f10_100_s2</t>
  </si>
  <si>
    <t>MÉDIA</t>
  </si>
  <si>
    <t xml:space="preserve">Raio de Cobertura </t>
  </si>
  <si>
    <t>Demanda Mínima</t>
  </si>
  <si>
    <t>GRID_PSCLP_n100_m5000_d1_100_f10_100_s1</t>
  </si>
  <si>
    <t>GRID_PSCLP_n100_m5000_d1_100_f10_100_s2</t>
  </si>
  <si>
    <t>INSTÂNCIAS MÉDIAS</t>
  </si>
  <si>
    <t>INSTÂNCIAS PEQUENAS</t>
  </si>
  <si>
    <t>INSTÂNCIAS GRANDES</t>
  </si>
  <si>
    <t>GRID_PSCLP_n100_m10000_d1_100_f10_100_s1</t>
  </si>
  <si>
    <t>GRID_PSCLP_n100_m10000_d1_100_f10_100_s2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</si>
</sst>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8D93-1F9B-4C8C-9D51-AE44BB88A1EE}">
  <dimension ref="A1:K12"/>
  <sheetViews>
    <sheetView tabSelected="1" workbookViewId="0">
      <selection activeCell="F21" sqref="F21"/>
    </sheetView>
  </sheetViews>
  <sheetFormatPr defaultRowHeight="15" x14ac:dyDescent="0.25"/>
  <cols>
    <col min="1" max="1" width="42.28515625" bestFit="1" customWidth="1"/>
    <col min="5" max="5" width="13.42578125" bestFit="1" customWidth="1"/>
    <col min="9" max="9" width="13.42578125" bestFit="1" customWidth="1"/>
    <col min="10" max="10" width="9.7109375" customWidth="1"/>
  </cols>
  <sheetData>
    <row r="1" spans="1:11" x14ac:dyDescent="0.25">
      <c r="A1" s="2" t="s">
        <v>14</v>
      </c>
      <c r="B1" s="2" t="s">
        <v>0</v>
      </c>
      <c r="C1" s="2"/>
      <c r="D1" s="2"/>
      <c r="E1" s="2"/>
      <c r="F1" s="2" t="s">
        <v>1</v>
      </c>
      <c r="G1" s="2"/>
      <c r="H1" s="2"/>
      <c r="I1" s="2"/>
      <c r="J1" s="4" t="s">
        <v>9</v>
      </c>
      <c r="K1" s="4" t="s">
        <v>10</v>
      </c>
    </row>
    <row r="2" spans="1:11" x14ac:dyDescent="0.25">
      <c r="A2" s="2"/>
      <c r="B2" s="2" t="s">
        <v>2</v>
      </c>
      <c r="C2" s="2" t="s">
        <v>3</v>
      </c>
      <c r="D2" s="2" t="s">
        <v>5</v>
      </c>
      <c r="E2" s="2" t="s">
        <v>4</v>
      </c>
      <c r="F2" s="2" t="s">
        <v>2</v>
      </c>
      <c r="G2" s="2" t="s">
        <v>3</v>
      </c>
      <c r="H2" s="2" t="s">
        <v>5</v>
      </c>
      <c r="I2" s="2" t="s">
        <v>4</v>
      </c>
      <c r="J2" s="5"/>
      <c r="K2" s="4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5"/>
      <c r="K3" s="4"/>
    </row>
    <row r="4" spans="1:11" x14ac:dyDescent="0.25">
      <c r="A4" s="16" t="s">
        <v>6</v>
      </c>
      <c r="B4" s="7">
        <v>73</v>
      </c>
      <c r="C4" s="7">
        <v>73</v>
      </c>
      <c r="D4" s="20">
        <v>0</v>
      </c>
      <c r="E4" s="8">
        <v>0.31601977348327642</v>
      </c>
      <c r="F4" s="7">
        <v>73</v>
      </c>
      <c r="G4" s="7">
        <v>73</v>
      </c>
      <c r="H4" s="20">
        <v>0</v>
      </c>
      <c r="I4" s="8">
        <v>0.20987701416015619</v>
      </c>
      <c r="J4" s="7">
        <v>5.5</v>
      </c>
      <c r="K4" s="9">
        <v>0.5</v>
      </c>
    </row>
    <row r="5" spans="1:11" x14ac:dyDescent="0.25">
      <c r="A5" s="17" t="s">
        <v>6</v>
      </c>
      <c r="B5" s="10">
        <v>68</v>
      </c>
      <c r="C5" s="10">
        <v>68</v>
      </c>
      <c r="D5" s="22">
        <v>0</v>
      </c>
      <c r="E5" s="11">
        <v>0.46992754936218262</v>
      </c>
      <c r="F5" s="10">
        <v>68</v>
      </c>
      <c r="G5" s="10">
        <v>68</v>
      </c>
      <c r="H5" s="22">
        <v>0</v>
      </c>
      <c r="I5" s="11">
        <v>0.39223384857177729</v>
      </c>
      <c r="J5" s="10">
        <v>5.75</v>
      </c>
      <c r="K5" s="12">
        <v>0.5</v>
      </c>
    </row>
    <row r="6" spans="1:11" x14ac:dyDescent="0.25">
      <c r="A6" s="17" t="s">
        <v>6</v>
      </c>
      <c r="B6" s="10">
        <v>62</v>
      </c>
      <c r="C6" s="10">
        <v>62</v>
      </c>
      <c r="D6" s="22">
        <v>0</v>
      </c>
      <c r="E6" s="11">
        <v>0.194378137588501</v>
      </c>
      <c r="F6" s="10">
        <v>62</v>
      </c>
      <c r="G6" s="10">
        <v>62</v>
      </c>
      <c r="H6" s="22">
        <v>0</v>
      </c>
      <c r="I6" s="11">
        <v>0.2963566780090332</v>
      </c>
      <c r="J6" s="10">
        <v>6</v>
      </c>
      <c r="K6" s="12">
        <v>0.5</v>
      </c>
    </row>
    <row r="7" spans="1:11" x14ac:dyDescent="0.25">
      <c r="A7" s="17" t="s">
        <v>6</v>
      </c>
      <c r="B7" s="10">
        <v>58</v>
      </c>
      <c r="C7" s="10">
        <v>58</v>
      </c>
      <c r="D7" s="22">
        <v>0</v>
      </c>
      <c r="E7" s="11">
        <v>0.57574796676635742</v>
      </c>
      <c r="F7" s="10">
        <v>58</v>
      </c>
      <c r="G7" s="10">
        <v>58</v>
      </c>
      <c r="H7" s="22">
        <v>0</v>
      </c>
      <c r="I7" s="11">
        <v>0.53014373779296875</v>
      </c>
      <c r="J7" s="10">
        <v>6.25</v>
      </c>
      <c r="K7" s="12">
        <v>0.5</v>
      </c>
    </row>
    <row r="8" spans="1:11" x14ac:dyDescent="0.25">
      <c r="A8" s="17" t="s">
        <v>7</v>
      </c>
      <c r="B8" s="10">
        <v>69</v>
      </c>
      <c r="C8" s="10">
        <v>69</v>
      </c>
      <c r="D8" s="22">
        <v>0</v>
      </c>
      <c r="E8" s="11">
        <v>0.46718740463256841</v>
      </c>
      <c r="F8" s="10">
        <v>69</v>
      </c>
      <c r="G8" s="10">
        <v>69</v>
      </c>
      <c r="H8" s="22">
        <v>0</v>
      </c>
      <c r="I8" s="11">
        <v>0.33062505722045898</v>
      </c>
      <c r="J8" s="10">
        <v>5.5</v>
      </c>
      <c r="K8" s="12">
        <v>0.5</v>
      </c>
    </row>
    <row r="9" spans="1:11" x14ac:dyDescent="0.25">
      <c r="A9" s="17" t="s">
        <v>7</v>
      </c>
      <c r="B9" s="10">
        <v>64</v>
      </c>
      <c r="C9" s="10">
        <v>64</v>
      </c>
      <c r="D9" s="22">
        <v>0</v>
      </c>
      <c r="E9" s="11">
        <v>0.33504676818847662</v>
      </c>
      <c r="F9" s="10">
        <v>64</v>
      </c>
      <c r="G9" s="10">
        <v>64</v>
      </c>
      <c r="H9" s="22">
        <v>0</v>
      </c>
      <c r="I9" s="11">
        <v>0.70955252647399902</v>
      </c>
      <c r="J9" s="10">
        <v>5.75</v>
      </c>
      <c r="K9" s="12">
        <v>0.5</v>
      </c>
    </row>
    <row r="10" spans="1:11" x14ac:dyDescent="0.25">
      <c r="A10" s="17" t="s">
        <v>7</v>
      </c>
      <c r="B10" s="10">
        <v>61</v>
      </c>
      <c r="C10" s="10">
        <v>61</v>
      </c>
      <c r="D10" s="22">
        <v>0</v>
      </c>
      <c r="E10" s="11">
        <v>1.6455023288726811</v>
      </c>
      <c r="F10" s="10">
        <v>61</v>
      </c>
      <c r="G10" s="10">
        <v>61</v>
      </c>
      <c r="H10" s="22">
        <v>0</v>
      </c>
      <c r="I10" s="11">
        <v>1.2470536231994629</v>
      </c>
      <c r="J10" s="10">
        <v>6</v>
      </c>
      <c r="K10" s="12">
        <v>0.5</v>
      </c>
    </row>
    <row r="11" spans="1:11" x14ac:dyDescent="0.25">
      <c r="A11" s="18" t="s">
        <v>7</v>
      </c>
      <c r="B11" s="13">
        <v>50</v>
      </c>
      <c r="C11" s="13">
        <v>50</v>
      </c>
      <c r="D11" s="24">
        <v>0</v>
      </c>
      <c r="E11" s="14">
        <v>0.29062962532043463</v>
      </c>
      <c r="F11" s="13">
        <v>50</v>
      </c>
      <c r="G11" s="13">
        <v>50</v>
      </c>
      <c r="H11" s="24">
        <v>0</v>
      </c>
      <c r="I11" s="14">
        <v>0.20496177673339841</v>
      </c>
      <c r="J11" s="13">
        <v>6.25</v>
      </c>
      <c r="K11" s="15">
        <v>0.5</v>
      </c>
    </row>
    <row r="12" spans="1:11" x14ac:dyDescent="0.25">
      <c r="A12" s="6" t="s">
        <v>8</v>
      </c>
      <c r="B12" s="27">
        <f>AVERAGE(B4:B11)</f>
        <v>63.125</v>
      </c>
      <c r="C12" s="27">
        <f>AVERAGE(C4:C11)</f>
        <v>63.125</v>
      </c>
      <c r="D12" s="28">
        <f>AVERAGE(D4:D11)</f>
        <v>0</v>
      </c>
      <c r="E12" s="27">
        <f>AVERAGE(E4:E11)</f>
        <v>0.53680494427680969</v>
      </c>
      <c r="F12" s="27">
        <f>AVERAGE(F4:F11)</f>
        <v>63.125</v>
      </c>
      <c r="G12" s="27">
        <f>AVERAGE(G4:G11)</f>
        <v>63.125</v>
      </c>
      <c r="H12" s="28">
        <f>AVERAGE(H4:H11)</f>
        <v>0</v>
      </c>
      <c r="I12" s="27">
        <f>AVERAGE(I4:I11)</f>
        <v>0.49010053277015686</v>
      </c>
    </row>
  </sheetData>
  <mergeCells count="13">
    <mergeCell ref="H2:H3"/>
    <mergeCell ref="I2:I3"/>
    <mergeCell ref="J1:J3"/>
    <mergeCell ref="K1:K3"/>
    <mergeCell ref="B1:E1"/>
    <mergeCell ref="F1:I1"/>
    <mergeCell ref="A1:A3"/>
    <mergeCell ref="B2:B3"/>
    <mergeCell ref="C2:C3"/>
    <mergeCell ref="D2:D3"/>
    <mergeCell ref="E2:E3"/>
    <mergeCell ref="F2:F3"/>
    <mergeCell ref="G2:G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20DF-9FB9-456C-B214-F49C528CD7DA}">
  <dimension ref="A1:K12"/>
  <sheetViews>
    <sheetView workbookViewId="0">
      <selection activeCell="A23" sqref="A23"/>
    </sheetView>
  </sheetViews>
  <sheetFormatPr defaultRowHeight="15" x14ac:dyDescent="0.25"/>
  <cols>
    <col min="1" max="1" width="42.28515625" bestFit="1" customWidth="1"/>
    <col min="5" max="5" width="13.42578125" bestFit="1" customWidth="1"/>
    <col min="9" max="9" width="13.42578125" bestFit="1" customWidth="1"/>
    <col min="10" max="10" width="9.5703125" customWidth="1"/>
  </cols>
  <sheetData>
    <row r="1" spans="1:11" x14ac:dyDescent="0.25">
      <c r="A1" s="2" t="s">
        <v>13</v>
      </c>
      <c r="B1" s="2" t="s">
        <v>0</v>
      </c>
      <c r="C1" s="2"/>
      <c r="D1" s="2"/>
      <c r="E1" s="2"/>
      <c r="F1" s="2" t="s">
        <v>1</v>
      </c>
      <c r="G1" s="2"/>
      <c r="H1" s="2"/>
      <c r="I1" s="2"/>
      <c r="J1" s="4" t="s">
        <v>9</v>
      </c>
      <c r="K1" s="4" t="s">
        <v>10</v>
      </c>
    </row>
    <row r="2" spans="1:11" x14ac:dyDescent="0.25">
      <c r="A2" s="2"/>
      <c r="B2" s="2" t="s">
        <v>2</v>
      </c>
      <c r="C2" s="2" t="s">
        <v>3</v>
      </c>
      <c r="D2" s="2" t="s">
        <v>5</v>
      </c>
      <c r="E2" s="2" t="s">
        <v>4</v>
      </c>
      <c r="F2" s="2" t="s">
        <v>2</v>
      </c>
      <c r="G2" s="2" t="s">
        <v>3</v>
      </c>
      <c r="H2" s="2" t="s">
        <v>5</v>
      </c>
      <c r="I2" s="2" t="s">
        <v>4</v>
      </c>
      <c r="J2" s="5"/>
      <c r="K2" s="4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5"/>
      <c r="K3" s="4"/>
    </row>
    <row r="4" spans="1:11" x14ac:dyDescent="0.25">
      <c r="A4" s="19" t="s">
        <v>11</v>
      </c>
      <c r="B4" s="7">
        <v>90</v>
      </c>
      <c r="C4" s="7">
        <v>90</v>
      </c>
      <c r="D4" s="20">
        <v>0</v>
      </c>
      <c r="E4" s="8">
        <v>2.4942598342895508</v>
      </c>
      <c r="F4" s="7">
        <v>90</v>
      </c>
      <c r="G4" s="7">
        <v>90</v>
      </c>
      <c r="H4" s="20">
        <v>0</v>
      </c>
      <c r="I4" s="8">
        <v>2.195796012878418</v>
      </c>
      <c r="J4" s="7">
        <v>5.5</v>
      </c>
      <c r="K4" s="9">
        <v>0.5</v>
      </c>
    </row>
    <row r="5" spans="1:11" x14ac:dyDescent="0.25">
      <c r="A5" s="21" t="s">
        <v>11</v>
      </c>
      <c r="B5" s="10">
        <v>79</v>
      </c>
      <c r="C5" s="10">
        <v>79</v>
      </c>
      <c r="D5" s="22">
        <v>0</v>
      </c>
      <c r="E5" s="11">
        <v>1.3389656543731689</v>
      </c>
      <c r="F5" s="10">
        <v>79</v>
      </c>
      <c r="G5" s="10">
        <v>79</v>
      </c>
      <c r="H5" s="22">
        <v>0</v>
      </c>
      <c r="I5" s="11">
        <v>0.84847688674926758</v>
      </c>
      <c r="J5" s="10">
        <v>5.75</v>
      </c>
      <c r="K5" s="12">
        <v>0.5</v>
      </c>
    </row>
    <row r="6" spans="1:11" x14ac:dyDescent="0.25">
      <c r="A6" s="21" t="s">
        <v>11</v>
      </c>
      <c r="B6" s="10">
        <v>76</v>
      </c>
      <c r="C6" s="10">
        <v>76</v>
      </c>
      <c r="D6" s="22">
        <v>0</v>
      </c>
      <c r="E6" s="11">
        <v>4.7770867347717294</v>
      </c>
      <c r="F6" s="10">
        <v>76</v>
      </c>
      <c r="G6" s="10">
        <v>76</v>
      </c>
      <c r="H6" s="22">
        <v>0</v>
      </c>
      <c r="I6" s="11">
        <v>4.3617203235626221</v>
      </c>
      <c r="J6" s="10">
        <v>6</v>
      </c>
      <c r="K6" s="12">
        <v>0.5</v>
      </c>
    </row>
    <row r="7" spans="1:11" x14ac:dyDescent="0.25">
      <c r="A7" s="21" t="s">
        <v>11</v>
      </c>
      <c r="B7" s="10">
        <v>65</v>
      </c>
      <c r="C7" s="10">
        <v>65</v>
      </c>
      <c r="D7" s="22">
        <v>0</v>
      </c>
      <c r="E7" s="11">
        <v>0.93832635879516602</v>
      </c>
      <c r="F7" s="10">
        <v>65</v>
      </c>
      <c r="G7" s="10">
        <v>65</v>
      </c>
      <c r="H7" s="22">
        <v>0</v>
      </c>
      <c r="I7" s="11">
        <v>0.33417081832885742</v>
      </c>
      <c r="J7" s="10">
        <v>6.25</v>
      </c>
      <c r="K7" s="12">
        <v>0.5</v>
      </c>
    </row>
    <row r="8" spans="1:11" x14ac:dyDescent="0.25">
      <c r="A8" s="21" t="s">
        <v>12</v>
      </c>
      <c r="B8" s="10">
        <v>84</v>
      </c>
      <c r="C8" s="10">
        <v>84</v>
      </c>
      <c r="D8" s="22">
        <v>0</v>
      </c>
      <c r="E8" s="11">
        <v>2.9015204906463619</v>
      </c>
      <c r="F8" s="10">
        <v>84</v>
      </c>
      <c r="G8" s="10">
        <v>84</v>
      </c>
      <c r="H8" s="22">
        <v>0</v>
      </c>
      <c r="I8" s="11">
        <v>1.7795026302337651</v>
      </c>
      <c r="J8" s="10">
        <v>5.5</v>
      </c>
      <c r="K8" s="12">
        <v>0.5</v>
      </c>
    </row>
    <row r="9" spans="1:11" x14ac:dyDescent="0.25">
      <c r="A9" s="21" t="s">
        <v>12</v>
      </c>
      <c r="B9" s="10">
        <v>75</v>
      </c>
      <c r="C9" s="10">
        <v>75</v>
      </c>
      <c r="D9" s="22">
        <v>0</v>
      </c>
      <c r="E9" s="11">
        <v>2.9386458396911621</v>
      </c>
      <c r="F9" s="10">
        <v>75</v>
      </c>
      <c r="G9" s="10">
        <v>75</v>
      </c>
      <c r="H9" s="22">
        <v>0</v>
      </c>
      <c r="I9" s="11">
        <v>2.9546859264373779</v>
      </c>
      <c r="J9" s="10">
        <v>5.75</v>
      </c>
      <c r="K9" s="12">
        <v>0.5</v>
      </c>
    </row>
    <row r="10" spans="1:11" x14ac:dyDescent="0.25">
      <c r="A10" s="21" t="s">
        <v>12</v>
      </c>
      <c r="B10" s="10">
        <v>65</v>
      </c>
      <c r="C10" s="10">
        <v>65</v>
      </c>
      <c r="D10" s="22">
        <v>0</v>
      </c>
      <c r="E10" s="11">
        <v>3.410742044448853</v>
      </c>
      <c r="F10" s="10">
        <v>65</v>
      </c>
      <c r="G10" s="10">
        <v>65</v>
      </c>
      <c r="H10" s="22">
        <v>0</v>
      </c>
      <c r="I10" s="11">
        <v>4.7275490760803223</v>
      </c>
      <c r="J10" s="10">
        <v>6</v>
      </c>
      <c r="K10" s="12">
        <v>0.5</v>
      </c>
    </row>
    <row r="11" spans="1:11" x14ac:dyDescent="0.25">
      <c r="A11" s="23" t="s">
        <v>12</v>
      </c>
      <c r="B11" s="13">
        <v>59</v>
      </c>
      <c r="C11" s="13">
        <v>59</v>
      </c>
      <c r="D11" s="24">
        <v>0</v>
      </c>
      <c r="E11" s="14">
        <v>3.616523265838623</v>
      </c>
      <c r="F11" s="13">
        <v>59</v>
      </c>
      <c r="G11" s="13">
        <v>59</v>
      </c>
      <c r="H11" s="24">
        <v>0</v>
      </c>
      <c r="I11" s="14">
        <v>2.5675351619720459</v>
      </c>
      <c r="J11" s="13">
        <v>6.25</v>
      </c>
      <c r="K11" s="15">
        <v>0.5</v>
      </c>
    </row>
    <row r="12" spans="1:11" x14ac:dyDescent="0.25">
      <c r="A12" s="3" t="s">
        <v>8</v>
      </c>
      <c r="B12" s="25">
        <f>AVERAGE(B4:B11)</f>
        <v>74.125</v>
      </c>
      <c r="C12" s="25">
        <f>AVERAGE(C4:C11)</f>
        <v>74.125</v>
      </c>
      <c r="D12" s="26">
        <f>AVERAGE(D4:D11)</f>
        <v>0</v>
      </c>
      <c r="E12" s="25">
        <f>AVERAGE(E4:E11)</f>
        <v>2.8020087778568268</v>
      </c>
      <c r="F12" s="25">
        <f>AVERAGE(F4:F11)</f>
        <v>74.125</v>
      </c>
      <c r="G12" s="25">
        <f>AVERAGE(G4:G11)</f>
        <v>74.125</v>
      </c>
      <c r="H12" s="26">
        <f>AVERAGE(H4:H11)</f>
        <v>0</v>
      </c>
      <c r="I12" s="25">
        <f>AVERAGE(I4:I11)</f>
        <v>2.4711796045303345</v>
      </c>
      <c r="J12" s="1"/>
      <c r="K12" s="1"/>
    </row>
  </sheetData>
  <mergeCells count="13">
    <mergeCell ref="I2:I3"/>
    <mergeCell ref="J1:J3"/>
    <mergeCell ref="K1:K3"/>
    <mergeCell ref="A1:A3"/>
    <mergeCell ref="B1:E1"/>
    <mergeCell ref="F1:I1"/>
    <mergeCell ref="B2:B3"/>
    <mergeCell ref="C2:C3"/>
    <mergeCell ref="D2:D3"/>
    <mergeCell ref="E2:E3"/>
    <mergeCell ref="F2:F3"/>
    <mergeCell ref="G2:G3"/>
    <mergeCell ref="H2:H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0DD7-5856-467E-B4B3-14B8E04C62A9}">
  <dimension ref="A1:K12"/>
  <sheetViews>
    <sheetView workbookViewId="0">
      <selection activeCell="D19" sqref="D19"/>
    </sheetView>
  </sheetViews>
  <sheetFormatPr defaultRowHeight="15" x14ac:dyDescent="0.25"/>
  <cols>
    <col min="1" max="1" width="42.28515625" bestFit="1" customWidth="1"/>
    <col min="5" max="5" width="13.42578125" bestFit="1" customWidth="1"/>
    <col min="9" max="9" width="13.42578125" bestFit="1" customWidth="1"/>
    <col min="10" max="10" width="9.5703125" customWidth="1"/>
  </cols>
  <sheetData>
    <row r="1" spans="1:11" x14ac:dyDescent="0.25">
      <c r="A1" s="2" t="s">
        <v>15</v>
      </c>
      <c r="B1" s="2" t="s">
        <v>0</v>
      </c>
      <c r="C1" s="2"/>
      <c r="D1" s="2"/>
      <c r="E1" s="2"/>
      <c r="F1" s="2" t="s">
        <v>1</v>
      </c>
      <c r="G1" s="2"/>
      <c r="H1" s="2"/>
      <c r="I1" s="2"/>
      <c r="J1" s="4" t="s">
        <v>9</v>
      </c>
      <c r="K1" s="4" t="s">
        <v>10</v>
      </c>
    </row>
    <row r="2" spans="1:11" x14ac:dyDescent="0.25">
      <c r="A2" s="2"/>
      <c r="B2" s="2" t="s">
        <v>2</v>
      </c>
      <c r="C2" s="2" t="s">
        <v>3</v>
      </c>
      <c r="D2" s="2" t="s">
        <v>5</v>
      </c>
      <c r="E2" s="2" t="s">
        <v>4</v>
      </c>
      <c r="F2" s="2" t="s">
        <v>2</v>
      </c>
      <c r="G2" s="2" t="s">
        <v>3</v>
      </c>
      <c r="H2" s="2" t="s">
        <v>5</v>
      </c>
      <c r="I2" s="2" t="s">
        <v>4</v>
      </c>
      <c r="J2" s="5"/>
      <c r="K2" s="4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5"/>
      <c r="K3" s="4"/>
    </row>
    <row r="4" spans="1:11" x14ac:dyDescent="0.25">
      <c r="A4" s="32" t="s">
        <v>16</v>
      </c>
      <c r="B4" s="7">
        <v>74</v>
      </c>
      <c r="C4" s="7">
        <v>74</v>
      </c>
      <c r="D4" s="20">
        <v>0</v>
      </c>
      <c r="E4" s="8">
        <v>13.31495332717896</v>
      </c>
      <c r="F4" s="7">
        <v>74</v>
      </c>
      <c r="G4" s="7">
        <v>74</v>
      </c>
      <c r="H4" s="20">
        <v>0</v>
      </c>
      <c r="I4" s="8">
        <v>15.40377402305603</v>
      </c>
      <c r="J4" s="7">
        <v>5.5</v>
      </c>
      <c r="K4" s="9">
        <v>0.5</v>
      </c>
    </row>
    <row r="5" spans="1:11" x14ac:dyDescent="0.25">
      <c r="A5" s="33" t="s">
        <v>16</v>
      </c>
      <c r="B5" s="10">
        <v>63</v>
      </c>
      <c r="C5" s="10">
        <v>63</v>
      </c>
      <c r="D5" s="22">
        <v>0</v>
      </c>
      <c r="E5" s="11">
        <v>6.0594816207885742</v>
      </c>
      <c r="F5" s="10">
        <v>63</v>
      </c>
      <c r="G5" s="10">
        <v>63</v>
      </c>
      <c r="H5" s="22">
        <v>0</v>
      </c>
      <c r="I5" s="11">
        <v>4.3675711154937744</v>
      </c>
      <c r="J5" s="10">
        <v>5.75</v>
      </c>
      <c r="K5" s="12">
        <v>0.5</v>
      </c>
    </row>
    <row r="6" spans="1:11" x14ac:dyDescent="0.25">
      <c r="A6" s="33" t="s">
        <v>16</v>
      </c>
      <c r="B6" s="10">
        <v>60</v>
      </c>
      <c r="C6" s="10">
        <v>60</v>
      </c>
      <c r="D6" s="22">
        <v>0</v>
      </c>
      <c r="E6" s="11">
        <v>12.568864345550541</v>
      </c>
      <c r="F6" s="10">
        <v>60</v>
      </c>
      <c r="G6" s="10">
        <v>60</v>
      </c>
      <c r="H6" s="22">
        <v>0</v>
      </c>
      <c r="I6" s="11">
        <v>22.590364456176761</v>
      </c>
      <c r="J6" s="10">
        <v>6</v>
      </c>
      <c r="K6" s="12">
        <v>0.5</v>
      </c>
    </row>
    <row r="7" spans="1:11" x14ac:dyDescent="0.25">
      <c r="A7" s="33" t="s">
        <v>16</v>
      </c>
      <c r="B7" s="10">
        <v>48</v>
      </c>
      <c r="C7" s="10">
        <v>48</v>
      </c>
      <c r="D7" s="22">
        <v>0</v>
      </c>
      <c r="E7" s="11">
        <v>1.6996510028839109</v>
      </c>
      <c r="F7" s="10">
        <v>48</v>
      </c>
      <c r="G7" s="10">
        <v>48</v>
      </c>
      <c r="H7" s="22">
        <v>0</v>
      </c>
      <c r="I7" s="11">
        <v>1.1308774948120119</v>
      </c>
      <c r="J7" s="10">
        <v>6.25</v>
      </c>
      <c r="K7" s="12">
        <v>0.5</v>
      </c>
    </row>
    <row r="8" spans="1:11" x14ac:dyDescent="0.25">
      <c r="A8" s="33" t="s">
        <v>17</v>
      </c>
      <c r="B8" s="10">
        <v>102</v>
      </c>
      <c r="C8" s="10">
        <v>102</v>
      </c>
      <c r="D8" s="22">
        <v>0</v>
      </c>
      <c r="E8" s="11">
        <v>7.3756635189056396</v>
      </c>
      <c r="F8" s="10">
        <v>102</v>
      </c>
      <c r="G8" s="10">
        <v>102</v>
      </c>
      <c r="H8" s="22">
        <v>0</v>
      </c>
      <c r="I8" s="11">
        <v>10.46786642074585</v>
      </c>
      <c r="J8" s="10">
        <v>5.5</v>
      </c>
      <c r="K8" s="12">
        <v>0.5</v>
      </c>
    </row>
    <row r="9" spans="1:11" x14ac:dyDescent="0.25">
      <c r="A9" s="33" t="s">
        <v>17</v>
      </c>
      <c r="B9" s="10">
        <v>86</v>
      </c>
      <c r="C9" s="10">
        <v>86</v>
      </c>
      <c r="D9" s="22">
        <v>0</v>
      </c>
      <c r="E9" s="11">
        <v>5.1456596851348877</v>
      </c>
      <c r="F9" s="10">
        <v>86</v>
      </c>
      <c r="G9" s="10">
        <v>86</v>
      </c>
      <c r="H9" s="22">
        <v>0</v>
      </c>
      <c r="I9" s="11">
        <v>3.3640575408935551</v>
      </c>
      <c r="J9" s="10">
        <v>5.75</v>
      </c>
      <c r="K9" s="12">
        <v>0.5</v>
      </c>
    </row>
    <row r="10" spans="1:11" x14ac:dyDescent="0.25">
      <c r="A10" s="33" t="s">
        <v>17</v>
      </c>
      <c r="B10" s="10">
        <v>81</v>
      </c>
      <c r="C10" s="10">
        <v>81</v>
      </c>
      <c r="D10" s="22">
        <v>0</v>
      </c>
      <c r="E10" s="11">
        <v>13.054975509643549</v>
      </c>
      <c r="F10" s="10">
        <v>81</v>
      </c>
      <c r="G10" s="10">
        <v>81</v>
      </c>
      <c r="H10" s="22">
        <v>0</v>
      </c>
      <c r="I10" s="11">
        <v>19.763167142868038</v>
      </c>
      <c r="J10" s="10">
        <v>6</v>
      </c>
      <c r="K10" s="12">
        <v>0.5</v>
      </c>
    </row>
    <row r="11" spans="1:11" x14ac:dyDescent="0.25">
      <c r="A11" s="34" t="s">
        <v>17</v>
      </c>
      <c r="B11" s="13">
        <v>81</v>
      </c>
      <c r="C11" s="13">
        <v>81</v>
      </c>
      <c r="D11" s="24">
        <v>0</v>
      </c>
      <c r="E11" s="14">
        <v>43.315606594085693</v>
      </c>
      <c r="F11" s="13">
        <v>81</v>
      </c>
      <c r="G11" s="13">
        <v>81</v>
      </c>
      <c r="H11" s="24">
        <v>0</v>
      </c>
      <c r="I11" s="14">
        <v>49.489824295043952</v>
      </c>
      <c r="J11" s="13">
        <v>6.25</v>
      </c>
      <c r="K11" s="15">
        <v>0.5</v>
      </c>
    </row>
    <row r="12" spans="1:11" x14ac:dyDescent="0.25">
      <c r="A12" s="29" t="s">
        <v>8</v>
      </c>
      <c r="B12" s="30">
        <f>AVERAGE(B4:B11)</f>
        <v>74.375</v>
      </c>
      <c r="C12" s="30">
        <f>AVERAGE(C4:C11)</f>
        <v>74.375</v>
      </c>
      <c r="D12" s="31">
        <f>AVERAGE(D4:D11)</f>
        <v>0</v>
      </c>
      <c r="E12" s="30">
        <f>AVERAGE(E4:E11)</f>
        <v>12.816856950521469</v>
      </c>
      <c r="F12" s="30">
        <f>AVERAGE(F4:F11)</f>
        <v>74.375</v>
      </c>
      <c r="G12" s="30">
        <f>AVERAGE(G4:G11)</f>
        <v>74.375</v>
      </c>
      <c r="H12" s="31">
        <f>AVERAGE(H4:H11)</f>
        <v>0</v>
      </c>
      <c r="I12" s="30">
        <f>AVERAGE(I4:I11)</f>
        <v>15.822187811136246</v>
      </c>
      <c r="J12" s="1"/>
      <c r="K12" s="1"/>
    </row>
  </sheetData>
  <mergeCells count="13">
    <mergeCell ref="G2:G3"/>
    <mergeCell ref="H2:H3"/>
    <mergeCell ref="I2:I3"/>
    <mergeCell ref="A1:A3"/>
    <mergeCell ref="B1:E1"/>
    <mergeCell ref="F1:I1"/>
    <mergeCell ref="J1:J3"/>
    <mergeCell ref="K1:K3"/>
    <mergeCell ref="B2:B3"/>
    <mergeCell ref="C2:C3"/>
    <mergeCell ref="D2:D3"/>
    <mergeCell ref="E2:E3"/>
    <mergeCell ref="F2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Pequenas</vt:lpstr>
      <vt:lpstr>Médias</vt:lpstr>
      <vt:lpstr>Grandes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Layon José</dc:creator>
  <cp:lastModifiedBy>Layon José</cp:lastModifiedBy>
  <dcterms:created xsi:type="dcterms:W3CDTF">2025-11-16T20:38:49Z</dcterms:created>
  <dcterms:modified xsi:type="dcterms:W3CDTF">2025-11-16T21:33:08Z</dcterms:modified>
</cp:coreProperties>
</file>